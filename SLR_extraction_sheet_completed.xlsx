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Summary" sheetId="2" state="visible" r:id="rId4"/>
    <sheet name="Studies" sheetId="3" state="visible" r:id="rId5"/>
    <sheet name="QA" sheetId="4" state="visible" r:id="rId6"/>
    <sheet name="Checklist" sheetId="5" state="visible" r:id="rId7"/>
    <sheet name="DRL" sheetId="6" state="visible" r:id="rId8"/>
    <sheet name="PRISMA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<sst xmlns="http://schemas.openxmlformats.org/spreadsheetml/2006/main" count="6813" uniqueCount="1143">
  <si>
    <t xml:space="preserve">Study extraction workbook — FS for ML-based IoT IDS SLR</t>
  </si>
  <si>
    <t xml:space="preserve">Fill only the yellow cells (blue text). Grey/white cells are formulas — do not edit.</t>
  </si>
  <si>
    <t xml:space="preserve">Completed workbook: 130 included studies. Primary FS family was coded manually from title/abstract; other fields were extracted with keyword rules from full texts (see Methods).</t>
  </si>
  <si>
    <t xml:space="preserve">2. Studies: one row per included study (S001–S130). Y/N columns use drop-downs.</t>
  </si>
  <si>
    <t xml:space="preserve">3. QA: score each study on QA1–QA8 (1 = yes, 0.5 = partly, 0 = no). Total and grade are automatic.</t>
  </si>
  <si>
    <t xml:space="preserve">4. Checklist: mark each study Y/N on the 12 FS-IDS-RC items.</t>
  </si>
  <si>
    <t xml:space="preserve">5. DRL: pick each study's deployment-readiness level (DRL-0 … DRL-4).</t>
  </si>
  <si>
    <t xml:space="preserve">6. Summary: all numbers needed for the paper's TBD cells are calculated here.</t>
  </si>
  <si>
    <t xml:space="preserve">Example of a completed Studies row (format only — verify against the paper before use):</t>
  </si>
  <si>
    <t xml:space="preserve">ID</t>
  </si>
  <si>
    <t xml:space="preserve">Authors</t>
  </si>
  <si>
    <t xml:space="preserve">Year</t>
  </si>
  <si>
    <t xml:space="preserve">Title</t>
  </si>
  <si>
    <t xml:space="preserve">Venue</t>
  </si>
  <si>
    <t xml:space="preserve">Venue type</t>
  </si>
  <si>
    <t xml:space="preserve">DOI</t>
  </si>
  <si>
    <t xml:space="preserve">Filter</t>
  </si>
  <si>
    <t xml:space="preserve">Wrapper (sequential)</t>
  </si>
  <si>
    <t xml:space="preserve">Wrapper (metaheuristic)</t>
  </si>
  <si>
    <t xml:space="preserve">Embedded</t>
  </si>
  <si>
    <t xml:space="preserve">Hybrid</t>
  </si>
  <si>
    <t xml:space="preserve">Transformation (PCA/AE)</t>
  </si>
  <si>
    <t xml:space="preserve">Primary FS family</t>
  </si>
  <si>
    <t xml:space="preserve">FS algorithm(s)</t>
  </si>
  <si>
    <t xml:space="preserve">Fitness / criterion</t>
  </si>
  <si>
    <t xml:space="preserve">Classifier(s)</t>
  </si>
  <si>
    <t xml:space="preserve">Deep learning used</t>
  </si>
  <si>
    <t xml:space="preserve">Dataset(s)</t>
  </si>
  <si>
    <t xml:space="preserve">No. of datasets</t>
  </si>
  <si>
    <t xml:space="preserve">Legacy/non-IoT dataset only</t>
  </si>
  <si>
    <t xml:space="preserve">Cross-dataset test</t>
  </si>
  <si>
    <t xml:space="preserve">Class setting</t>
  </si>
  <si>
    <t xml:space="preserve">Original features</t>
  </si>
  <si>
    <t xml:space="preserve">Selected features</t>
  </si>
  <si>
    <t xml:space="preserve">Reduction (%)</t>
  </si>
  <si>
    <t xml:space="preserve">Validation protocol</t>
  </si>
  <si>
    <t xml:space="preserve">FS fitted on training data only</t>
  </si>
  <si>
    <t xml:space="preserve">Repeated runs (stochastic FS)</t>
  </si>
  <si>
    <t xml:space="preserve">Baseline without FS</t>
  </si>
  <si>
    <t xml:space="preserve">Best reported accuracy (%)</t>
  </si>
  <si>
    <t xml:space="preserve">Accuracy &gt; 99%</t>
  </si>
  <si>
    <t xml:space="preserve">FAR reported</t>
  </si>
  <si>
    <t xml:space="preserve">Macro/per-class F1 reported</t>
  </si>
  <si>
    <t xml:space="preserve">Statistical test</t>
  </si>
  <si>
    <t xml:space="preserve">FS time reported</t>
  </si>
  <si>
    <t xml:space="preserve">Inference latency reported</t>
  </si>
  <si>
    <t xml:space="preserve">Memory reported</t>
  </si>
  <si>
    <t xml:space="preserve">Energy reported</t>
  </si>
  <si>
    <t xml:space="preserve">Edge/IoT hardware used</t>
  </si>
  <si>
    <t xml:space="preserve">Concept drift addressed</t>
  </si>
  <si>
    <t xml:space="preserve">Adversarial robustness tested</t>
  </si>
  <si>
    <t xml:space="preserve">XAI used</t>
  </si>
  <si>
    <t xml:space="preserve">XAI used for selection</t>
  </si>
  <si>
    <t xml:space="preserve">Code/data available</t>
  </si>
  <si>
    <t xml:space="preserve">Author-stated limitations</t>
  </si>
  <si>
    <t xml:space="preserve">Notes</t>
  </si>
  <si>
    <t xml:space="preserve">EX</t>
  </si>
  <si>
    <t xml:space="preserve">Kasongo &amp; Sun</t>
  </si>
  <si>
    <t xml:space="preserve">Performance analysis of IDS using a feature selection method on the UNSW-NB15 dataset</t>
  </si>
  <si>
    <t xml:space="preserve">Journal of Big Data</t>
  </si>
  <si>
    <t xml:space="preserve">Journal</t>
  </si>
  <si>
    <t xml:space="preserve">Y</t>
  </si>
  <si>
    <t xml:space="preserve">XGBoost importance</t>
  </si>
  <si>
    <t xml:space="preserve">ANN, kNN, DT, LR, SVM</t>
  </si>
  <si>
    <t xml:space="preserve">UNSW-NB15</t>
  </si>
  <si>
    <t xml:space="preserve">Both</t>
  </si>
  <si>
    <t xml:space="preserve">N</t>
  </si>
  <si>
    <t xml:space="preserve">Values above are illustrative; check every field against the original paper.</t>
  </si>
  <si>
    <t xml:space="preserve">Paper item</t>
  </si>
  <si>
    <t xml:space="preserve">Value</t>
  </si>
  <si>
    <t xml:space="preserve">Where it goes in the paper</t>
  </si>
  <si>
    <t xml:space="preserve">Studies entered</t>
  </si>
  <si>
    <t xml:space="preserve">Included studies</t>
  </si>
  <si>
    <t xml:space="preserve">Earliest publication year</t>
  </si>
  <si>
    <t xml:space="preserve">Abstract / Sec. 4.1</t>
  </si>
  <si>
    <t xml:space="preserve">Latest publication year</t>
  </si>
  <si>
    <t xml:space="preserve">Journal articles (%)</t>
  </si>
  <si>
    <t xml:space="preserve">Sec. 4.1</t>
  </si>
  <si>
    <t xml:space="preserve">Conference papers (%)</t>
  </si>
  <si>
    <t xml:space="preserve">QA grade: High (n)</t>
  </si>
  <si>
    <t xml:space="preserve">QA grade: Medium (n)</t>
  </si>
  <si>
    <t xml:space="preserve">QA grade: Low (n)</t>
  </si>
  <si>
    <t xml:space="preserve">Filter studies (n)</t>
  </si>
  <si>
    <t xml:space="preserve">Table 5</t>
  </si>
  <si>
    <t xml:space="preserve">Filter studies (%)</t>
  </si>
  <si>
    <t xml:space="preserve">Wrapper (sequential) studies (n)</t>
  </si>
  <si>
    <t xml:space="preserve">Wrapper (sequential) studies (%)</t>
  </si>
  <si>
    <t xml:space="preserve">Wrapper (metaheuristic) studies (n)</t>
  </si>
  <si>
    <t xml:space="preserve">Wrapper (metaheuristic) studies (%)</t>
  </si>
  <si>
    <t xml:space="preserve">Embedded studies (n)</t>
  </si>
  <si>
    <t xml:space="preserve">Embedded studies (%)</t>
  </si>
  <si>
    <t xml:space="preserve">Hybrid studies (n)</t>
  </si>
  <si>
    <t xml:space="preserve">Hybrid studies (%)</t>
  </si>
  <si>
    <t xml:space="preserve">Transformation (PCA/AE) studies (n)</t>
  </si>
  <si>
    <t xml:space="preserve">Transformation (PCA/AE) studies (%)</t>
  </si>
  <si>
    <t xml:space="preserve">Filter: median reduction (%)</t>
  </si>
  <si>
    <t xml:space="preserve">Table 7</t>
  </si>
  <si>
    <t xml:space="preserve">Filter: studies – report FAR (n)</t>
  </si>
  <si>
    <t xml:space="preserve">Filter: studies – report cost (n)</t>
  </si>
  <si>
    <t xml:space="preserve">Filter: studies – cross-dataset test (n)</t>
  </si>
  <si>
    <t xml:space="preserve">Wrapper/metaheuristic: median reduction (%)</t>
  </si>
  <si>
    <t xml:space="preserve">Wrapper/metaheuristic: studies – report FAR (n)</t>
  </si>
  <si>
    <t xml:space="preserve">Wrapper/metaheuristic: studies – report cost (n)</t>
  </si>
  <si>
    <t xml:space="preserve">Wrapper/metaheuristic: studies – cross-dataset test (n)</t>
  </si>
  <si>
    <t xml:space="preserve">Embedded: median reduction (%)</t>
  </si>
  <si>
    <t xml:space="preserve">Embedded: studies – report FAR (n)</t>
  </si>
  <si>
    <t xml:space="preserve">Embedded: studies – report cost (n)</t>
  </si>
  <si>
    <t xml:space="preserve">Embedded: studies – cross-dataset test (n)</t>
  </si>
  <si>
    <t xml:space="preserve">Hybrid: median reduction (%)</t>
  </si>
  <si>
    <t xml:space="preserve">Hybrid: studies – report FAR (n)</t>
  </si>
  <si>
    <t xml:space="preserve">Hybrid: studies – report cost (n)</t>
  </si>
  <si>
    <t xml:space="preserve">Hybrid: studies – cross-dataset test (n)</t>
  </si>
  <si>
    <t xml:space="preserve">Overall median reduction (%)</t>
  </si>
  <si>
    <t xml:space="preserve">Sec. 4.3</t>
  </si>
  <si>
    <t xml:space="preserve">Reduction IQR lower (%)</t>
  </si>
  <si>
    <t xml:space="preserve">Reduction IQR upper (%)</t>
  </si>
  <si>
    <t xml:space="preserve">Studies with baseline without FS (n)</t>
  </si>
  <si>
    <t xml:space="preserve">Studies reporting accuracy &gt; 99% (%)</t>
  </si>
  <si>
    <t xml:space="preserve">Studies reporting FAR (%)</t>
  </si>
  <si>
    <t xml:space="preserve">Studies reporting macro/per-class F1 (%)</t>
  </si>
  <si>
    <t xml:space="preserve">Studies reporting inference latency (n)</t>
  </si>
  <si>
    <t xml:space="preserve">Abstract / Sec. 4.3</t>
  </si>
  <si>
    <t xml:space="preserve">Studies reporting memory (n)</t>
  </si>
  <si>
    <t xml:space="preserve">Studies reporting energy (n)</t>
  </si>
  <si>
    <t xml:space="preserve">Studies using edge/IoT hardware (n)</t>
  </si>
  <si>
    <t xml:space="preserve">Studies using a single dataset (%)</t>
  </si>
  <si>
    <t xml:space="preserve">Abstract / Sec. 4.4</t>
  </si>
  <si>
    <t xml:space="preserve">Studies with cross-dataset test (n)</t>
  </si>
  <si>
    <t xml:space="preserve">Sec. 4.4</t>
  </si>
  <si>
    <t xml:space="preserve">Studies using deep learning (%)</t>
  </si>
  <si>
    <t xml:space="preserve">Single hold-out validation (%)</t>
  </si>
  <si>
    <t xml:space="preserve">k-fold cross-validation (%)</t>
  </si>
  <si>
    <t xml:space="preserve">FS fitted on training data only (%)</t>
  </si>
  <si>
    <t xml:space="preserve">Concept drift addressed (n)</t>
  </si>
  <si>
    <t xml:space="preserve">Sec. 4.5</t>
  </si>
  <si>
    <t xml:space="preserve">Adversarial robustness tested (n)</t>
  </si>
  <si>
    <t xml:space="preserve">XAI used post hoc (n)</t>
  </si>
  <si>
    <t xml:space="preserve">XAI used for selection (n)</t>
  </si>
  <si>
    <t xml:space="preserve">Sec. 4.2</t>
  </si>
  <si>
    <t xml:space="preserve">Hybrid studies failing QA1 (%)</t>
  </si>
  <si>
    <t xml:space="preserve">QA1 answered yes (%)</t>
  </si>
  <si>
    <t xml:space="preserve">Table 4</t>
  </si>
  <si>
    <t xml:space="preserve">QA2 answered yes (%)</t>
  </si>
  <si>
    <t xml:space="preserve">QA3 answered yes (%)</t>
  </si>
  <si>
    <t xml:space="preserve">QA4 answered yes (%)</t>
  </si>
  <si>
    <t xml:space="preserve">QA5 answered yes (%)</t>
  </si>
  <si>
    <t xml:space="preserve">QA6 answered yes (%)</t>
  </si>
  <si>
    <t xml:space="preserve">QA7 answered yes (%)</t>
  </si>
  <si>
    <t xml:space="preserve">QA8 answered yes (%)</t>
  </si>
  <si>
    <t xml:space="preserve">Checklist item 1 Dataset &amp; preprocessing: compliant (n)</t>
  </si>
  <si>
    <t xml:space="preserve">Table 10</t>
  </si>
  <si>
    <t xml:space="preserve">Checklist item 2 Class setting &amp; imbalance: compliant (n)</t>
  </si>
  <si>
    <t xml:space="preserve">Checklist item 3 FS inside training folds: compliant (n)</t>
  </si>
  <si>
    <t xml:space="preserve">Checklist item 4 Full FS specification: compliant (n)</t>
  </si>
  <si>
    <t xml:space="preserve">Checklist item 5 Selected feature list: compliant (n)</t>
  </si>
  <si>
    <t xml:space="preserve">Checklist item 6 Repeated runs mean±sd: compliant (n)</t>
  </si>
  <si>
    <t xml:space="preserve">Checklist item 7 Baselines: compliant (n)</t>
  </si>
  <si>
    <t xml:space="preserve">Checklist item 8 Class-sensitive metrics: compliant (n)</t>
  </si>
  <si>
    <t xml:space="preserve">Checklist item 9 Significance testing: compliant (n)</t>
  </si>
  <si>
    <t xml:space="preserve">Checklist item 10 Cost on stated hardware: compliant (n)</t>
  </si>
  <si>
    <t xml:space="preserve">Checklist item 11 ≥2 datasets / cross-dataset: compliant (n)</t>
  </si>
  <si>
    <t xml:space="preserve">Checklist item 12 Code released: compliant (n)</t>
  </si>
  <si>
    <t xml:space="preserve">DRL-0 (n)</t>
  </si>
  <si>
    <t xml:space="preserve">Table 11</t>
  </si>
  <si>
    <t xml:space="preserve">DRL-1 (n)</t>
  </si>
  <si>
    <t xml:space="preserve">DRL-2 (n)</t>
  </si>
  <si>
    <t xml:space="preserve">DRL-3 (n)</t>
  </si>
  <si>
    <t xml:space="preserve">DRL-4 (n)</t>
  </si>
  <si>
    <t xml:space="preserve">DRL-0 or DRL-1 (%)</t>
  </si>
  <si>
    <t xml:space="preserve">Sec. 6.3</t>
  </si>
  <si>
    <t xml:space="preserve">Studies using NSL-KDD (n)</t>
  </si>
  <si>
    <t xml:space="preserve">Table 3</t>
  </si>
  <si>
    <t xml:space="preserve">Studies using UNSW-NB15 (n)</t>
  </si>
  <si>
    <t xml:space="preserve">Studies using CICIDS2017 (n)</t>
  </si>
  <si>
    <t xml:space="preserve">Studies using N-BaIoT (n)</t>
  </si>
  <si>
    <t xml:space="preserve">Studies using Bot-IoT (n)</t>
  </si>
  <si>
    <t xml:space="preserve">Studies using TON_IoT (n)</t>
  </si>
  <si>
    <t xml:space="preserve">Studies using Edge-IIoTset (n)</t>
  </si>
  <si>
    <t xml:space="preserve">Studies using CICIoT2023 (n)</t>
  </si>
  <si>
    <t xml:space="preserve">Filter (mentioned)</t>
  </si>
  <si>
    <t xml:space="preserve">Wrapper (sequential) (mentioned)</t>
  </si>
  <si>
    <t xml:space="preserve">Wrapper (metaheuristic) (mentioned)</t>
  </si>
  <si>
    <t xml:space="preserve">Embedded (mentioned)</t>
  </si>
  <si>
    <t xml:space="preserve">Hybrid (mentioned)</t>
  </si>
  <si>
    <t xml:space="preserve">Transformation (PCA/AE) (mentioned)</t>
  </si>
  <si>
    <t xml:space="preserve">S001</t>
  </si>
  <si>
    <t xml:space="preserve">Mr.B. Suresh; M. Venkatachalam; Dr.M. Saroja</t>
  </si>
  <si>
    <t xml:space="preserve">Towards Improved Random Forest based Feature Selection for Intrusion Detection in Smart IOT Environment</t>
  </si>
  <si>
    <t xml:space="preserve">International Journal of Innovative Technology and Exploring Engineering</t>
  </si>
  <si>
    <t xml:space="preserve">10.35940/ijitee.f1446.0981119</t>
  </si>
  <si>
    <t xml:space="preserve">RF, DT, kNN</t>
  </si>
  <si>
    <t xml:space="preserve">Kaggle (unspecified)</t>
  </si>
  <si>
    <t xml:space="preserve">Not stated</t>
  </si>
  <si>
    <t xml:space="preserve">Unclear</t>
  </si>
  <si>
    <t xml:space="preserve">rec_id R0042</t>
  </si>
  <si>
    <t xml:space="preserve">S002</t>
  </si>
  <si>
    <t xml:space="preserve">Azam Davahli; Mahboubeh Shamsi; Golnoush Abaei</t>
  </si>
  <si>
    <t xml:space="preserve">A Lightweight Anomaly Detection Model using SVM for WSNs in IoT through a Hybrid Feature Selection Algorithm based on GA and GWO</t>
  </si>
  <si>
    <t xml:space="preserve">10.22108/jcs.2020.119468.1033</t>
  </si>
  <si>
    <t xml:space="preserve">SVM, kNN, MLP/ANN/DNN</t>
  </si>
  <si>
    <t xml:space="preserve">AWID</t>
  </si>
  <si>
    <t xml:space="preserve">Binary</t>
  </si>
  <si>
    <t xml:space="preserve">k-fold CV</t>
  </si>
  <si>
    <t xml:space="preserve">rec_id R0047</t>
  </si>
  <si>
    <t xml:space="preserve">S003</t>
  </si>
  <si>
    <t xml:space="preserve">J. Pokala; B. Lalitha</t>
  </si>
  <si>
    <t xml:space="preserve">A Novel Intrusion Detection System for RPL Based IoT Networks with Bio-Inspired Feature Selection and Ensemble Classifier</t>
  </si>
  <si>
    <t xml:space="preserve">10.21203/rs.3.rs-442429/v1</t>
  </si>
  <si>
    <t xml:space="preserve">Wrapper-meta</t>
  </si>
  <si>
    <t xml:space="preserve">SVM, DT, kNN, LR, AdaBoost, LSTM/GRU/RNN</t>
  </si>
  <si>
    <t xml:space="preserve">KDD Cup 99</t>
  </si>
  <si>
    <t xml:space="preserve">rec_id R0103</t>
  </si>
  <si>
    <t xml:space="preserve">S004</t>
  </si>
  <si>
    <t xml:space="preserve">Alok Kumar Pani</t>
  </si>
  <si>
    <t xml:space="preserve">An efficient algorithmic technique for feature selection in IoT based intrusion detection system</t>
  </si>
  <si>
    <t xml:space="preserve">Indian Journal of Science and Technology</t>
  </si>
  <si>
    <t xml:space="preserve">10.17485/ijst/v14i1.2057</t>
  </si>
  <si>
    <t xml:space="preserve">RF, SVM, DT, LR, MLP/ANN/DNN</t>
  </si>
  <si>
    <t xml:space="preserve">DS2OS</t>
  </si>
  <si>
    <t xml:space="preserve">rec_id R0125</t>
  </si>
  <si>
    <t xml:space="preserve">S005</t>
  </si>
  <si>
    <t xml:space="preserve">Bello Nazifi Kagara</t>
  </si>
  <si>
    <t xml:space="preserve">Comparative Study on Feature Selection Techniques in Intrusion Detection Systems using Ensemble Classifiers</t>
  </si>
  <si>
    <t xml:space="preserve">International Journal of Innovative Computing</t>
  </si>
  <si>
    <t xml:space="preserve">10.11113/ijic.v11n1.286</t>
  </si>
  <si>
    <t xml:space="preserve">SVM, LR</t>
  </si>
  <si>
    <t xml:space="preserve">rec_id R0136</t>
  </si>
  <si>
    <t xml:space="preserve">S006</t>
  </si>
  <si>
    <t xml:space="preserve">Gozde Karatas Baydoğmus</t>
  </si>
  <si>
    <t xml:space="preserve">Detecting Internet of Things Attacks by Using Hybrid Learning and Feature Selection Method</t>
  </si>
  <si>
    <t xml:space="preserve">European Journal of Science and Technology</t>
  </si>
  <si>
    <t xml:space="preserve">10.31590/ejosat.1017433</t>
  </si>
  <si>
    <t xml:space="preserve">DT, CNN, LSTM/GRU/RNN</t>
  </si>
  <si>
    <t xml:space="preserve">Bot-IoT, TON_IoT</t>
  </si>
  <si>
    <t xml:space="preserve">rec_id R0140</t>
  </si>
  <si>
    <t xml:space="preserve">S007</t>
  </si>
  <si>
    <t xml:space="preserve">Maheshi Buddhinee Dissanayake</t>
  </si>
  <si>
    <t xml:space="preserve">Feature Engineering for Cyber-attack detection in Internet of Things</t>
  </si>
  <si>
    <t xml:space="preserve">International Journal of Wireless and Microwave Technologies</t>
  </si>
  <si>
    <t xml:space="preserve">10.5815/ijwmt.2021.06.05</t>
  </si>
  <si>
    <t xml:space="preserve">RF, DT, LightGBM, AdaBoost, MLP/ANN/DNN</t>
  </si>
  <si>
    <t xml:space="preserve">Multi-class</t>
  </si>
  <si>
    <t xml:space="preserve">rec_id R0151</t>
  </si>
  <si>
    <t xml:space="preserve">S008</t>
  </si>
  <si>
    <t xml:space="preserve">G. Kavitha; N. M. Elango</t>
  </si>
  <si>
    <t xml:space="preserve">Genetic Algorithm-Conditional Mutual Information Maximization based feature selection for Bot Attack Classification in IoT devices</t>
  </si>
  <si>
    <t xml:space="preserve">Journal of Mobile Multimedia</t>
  </si>
  <si>
    <t xml:space="preserve">10.13052/jmm1550-4646.1816</t>
  </si>
  <si>
    <t xml:space="preserve">SVM, DT, NB</t>
  </si>
  <si>
    <t xml:space="preserve">Private/unspecified</t>
  </si>
  <si>
    <t xml:space="preserve">rec_id R0157</t>
  </si>
  <si>
    <t xml:space="preserve">S009</t>
  </si>
  <si>
    <t xml:space="preserve">Rawaa Ismael Farhan; Abeer Tariq Maolood; Nidaa Falih Hassan</t>
  </si>
  <si>
    <t xml:space="preserve">Hybrid Feature Selection Approach to Improve the Deep Neural Network on New Flow-Based Dataset for NIDS</t>
  </si>
  <si>
    <t xml:space="preserve">Wasit Journal of Computer and Mathematics Science</t>
  </si>
  <si>
    <t xml:space="preserve">10.31185/wjcm.vol1.iss1.10</t>
  </si>
  <si>
    <t xml:space="preserve">RF, SVM, MLP/ANN/DNN, CNN, LSTM/GRU/RNN</t>
  </si>
  <si>
    <t xml:space="preserve">NSL-KDD, CSE-CIC-IDS2018</t>
  </si>
  <si>
    <t xml:space="preserve">rec_id R0158</t>
  </si>
  <si>
    <t xml:space="preserve">S010</t>
  </si>
  <si>
    <t xml:space="preserve">Taifeng Pan</t>
  </si>
  <si>
    <t xml:space="preserve">Intrusion Detection Method of Internet of Things Based on Multi GBDT Feature Dimensionality Reduction and Hierarchical Traffic Detection</t>
  </si>
  <si>
    <t xml:space="preserve">Journal of Quantum Computing</t>
  </si>
  <si>
    <t xml:space="preserve">10.32604/jqc.2021.025373</t>
  </si>
  <si>
    <t xml:space="preserve">SVM, DT, MLP/ANN/DNN, CNN</t>
  </si>
  <si>
    <t xml:space="preserve">UNSW-NB15, Bot-IoT</t>
  </si>
  <si>
    <t xml:space="preserve">rec_id R0162</t>
  </si>
  <si>
    <t xml:space="preserve">S011</t>
  </si>
  <si>
    <t xml:space="preserve">Montassar Aidi Sharif</t>
  </si>
  <si>
    <t xml:space="preserve">A Mechatronics System based on Feature Selection and AI for IoT Intrusion Detection Applications</t>
  </si>
  <si>
    <t xml:space="preserve">International Journal of Integrated Engineering</t>
  </si>
  <si>
    <t xml:space="preserve">10.30880/ijie.2022.14.06.026</t>
  </si>
  <si>
    <t xml:space="preserve">kNN, MLP/ANN/DNN, CNN</t>
  </si>
  <si>
    <t xml:space="preserve">rec_id R0204</t>
  </si>
  <si>
    <t xml:space="preserve">S012</t>
  </si>
  <si>
    <t xml:space="preserve">Ahmed Fahad Alshudukhi; Saif Ahmed Jabbar; Basel Alshaikhdeeb</t>
  </si>
  <si>
    <t xml:space="preserve">A feature selection method based on auto-encoder for internet of things intrusion detection</t>
  </si>
  <si>
    <t xml:space="preserve">International Journal of Power Electronics and Drive Systems/International Journal of Electrical and Computer Engineering</t>
  </si>
  <si>
    <t xml:space="preserve">10.11591/ijece.v12i3.pp3265-3275</t>
  </si>
  <si>
    <t xml:space="preserve">Transformation</t>
  </si>
  <si>
    <t xml:space="preserve">SVM, DT, kNN</t>
  </si>
  <si>
    <t xml:space="preserve">rec_id R0213</t>
  </si>
  <si>
    <t xml:space="preserve">S013</t>
  </si>
  <si>
    <t xml:space="preserve">Kalaivani Kaliyaperumal; M. Chinnadurai; Deepan Perumal; Ganesh Jayaraman; Kannan Samikannu</t>
  </si>
  <si>
    <t xml:space="preserve">Combined Ensemble Intrusion Detection Model using Deep learning with Feature Selection for Fog Computing Environments</t>
  </si>
  <si>
    <t xml:space="preserve">Acta Scientiarum. Technology/Acta scientiarum. Technology</t>
  </si>
  <si>
    <t xml:space="preserve">10.4025/actascitechnol.v45i1.60551</t>
  </si>
  <si>
    <t xml:space="preserve">RF, SVM, DT, kNN, NB, MLP/ANN/DNN, CNN, LSTM/GRU/RNN</t>
  </si>
  <si>
    <t xml:space="preserve">NSL-KDD, KDD Cup 99, UNSW-NB15</t>
  </si>
  <si>
    <t xml:space="preserve">rec_id R0244</t>
  </si>
  <si>
    <t xml:space="preserve">S014</t>
  </si>
  <si>
    <t xml:space="preserve">A. Padmashree; M. Krishnamoorthi</t>
  </si>
  <si>
    <t xml:space="preserve">Decision Tree with Pearson Correlation-based Recursive Feature Elimination Model for Attack Detection in IoT Environment</t>
  </si>
  <si>
    <t xml:space="preserve">Information Technology and Control</t>
  </si>
  <si>
    <t xml:space="preserve">10.5755/j01.itc.51.4.31818</t>
  </si>
  <si>
    <t xml:space="preserve">RF, SVM, DT, kNN, MLP/ANN/DNN, CNN</t>
  </si>
  <si>
    <t xml:space="preserve">Bot-IoT</t>
  </si>
  <si>
    <t xml:space="preserve">rec_id R0247</t>
  </si>
  <si>
    <t xml:space="preserve">S015</t>
  </si>
  <si>
    <t xml:space="preserve">D. Dasari; G. Bindu</t>
  </si>
  <si>
    <t xml:space="preserve">Feature Selection Model-based Intrusion Detection System for Cyberattacks on the Internet of Vehicles Using Cat and Mouse Optimizer</t>
  </si>
  <si>
    <t xml:space="preserve">J. Wirel. Mob. Networks Ubiquitous Comput. Dependable Appl.</t>
  </si>
  <si>
    <t xml:space="preserve">10.58346/jowua.2024.i2.017</t>
  </si>
  <si>
    <t xml:space="preserve">RF, DT, LSTM/GRU/RNN</t>
  </si>
  <si>
    <t xml:space="preserve">CSE-CIC-IDS2018, Car-Hacking</t>
  </si>
  <si>
    <t xml:space="preserve">rec_id R0268</t>
  </si>
  <si>
    <t xml:space="preserve">S016</t>
  </si>
  <si>
    <t xml:space="preserve">S. Balaji; S. Sankaranarayanan</t>
  </si>
  <si>
    <t xml:space="preserve">Hybrid Deep-GAN Model for Intrusion Detection in IoT Through Enhanced Whale Optimization</t>
  </si>
  <si>
    <t xml:space="preserve">International Journal of Computing</t>
  </si>
  <si>
    <t xml:space="preserve">10.47839/ijc.21.4.2781</t>
  </si>
  <si>
    <t xml:space="preserve">MLP/ANN/DNN, CNN</t>
  </si>
  <si>
    <t xml:space="preserve">rec_id R0278</t>
  </si>
  <si>
    <t xml:space="preserve">S017</t>
  </si>
  <si>
    <t xml:space="preserve">Mashael M. Asiri; Heba G. Mohamed; Mohamed K. Nour; Mesfer Al Duhayyim; Amira Sayed A. Aziz; Abdelwahed Motwakel; Abu Sarwar Zamani; Mohamed I. Eldesouki</t>
  </si>
  <si>
    <t xml:space="preserve">Hybrid Metaheuristics Feature Selection with Stacked Deep Learning-Enabled Cyber-Attack Detection Model</t>
  </si>
  <si>
    <t xml:space="preserve">Computer Systems Science and Engineering</t>
  </si>
  <si>
    <t xml:space="preserve">10.32604/csse.2023.031063</t>
  </si>
  <si>
    <t xml:space="preserve">SVM, MLP/ANN/DNN, LSTM/GRU/RNN</t>
  </si>
  <si>
    <t xml:space="preserve">rec_id R0280</t>
  </si>
  <si>
    <t xml:space="preserve">S018</t>
  </si>
  <si>
    <t xml:space="preserve">Sasikumar Gurumurthy; D. Pamela; Upendra Roy</t>
  </si>
  <si>
    <t xml:space="preserve">Hybrid Pigeon Inspired Optimizer-Gray Wolf Optimization for Network Intrusion Detection</t>
  </si>
  <si>
    <t xml:space="preserve">Journal of system and management sciences</t>
  </si>
  <si>
    <t xml:space="preserve">10.33168/jsms.2022.0423</t>
  </si>
  <si>
    <t xml:space="preserve">SVM</t>
  </si>
  <si>
    <t xml:space="preserve">NSL-KDD</t>
  </si>
  <si>
    <t xml:space="preserve">rec_id R0281</t>
  </si>
  <si>
    <t xml:space="preserve">S019</t>
  </si>
  <si>
    <t xml:space="preserve">S. Vanitha; Palanisamy Balasubramanie</t>
  </si>
  <si>
    <t xml:space="preserve">Improved Ant Colony Optimization and Machine Learning Based Ensemble Intrusion Detection Model</t>
  </si>
  <si>
    <t xml:space="preserve">Intelligent Automation &amp; Soft Computing</t>
  </si>
  <si>
    <t xml:space="preserve">10.32604/iasc.2023.032324</t>
  </si>
  <si>
    <t xml:space="preserve">SVM, DT</t>
  </si>
  <si>
    <t xml:space="preserve">rec_id R0287</t>
  </si>
  <si>
    <t xml:space="preserve">S020</t>
  </si>
  <si>
    <t xml:space="preserve">Reem Ibrahim Alkanhel; El‐Sayed M. El‐kenawy; Abdelaziz A. Abdelhamid; Abdelhameed F. Ibrahim; Manal Abdullah Alohali; Mostafa Salaheldin Abdelsalam Abotaleb; Doaa Sami Khafaga</t>
  </si>
  <si>
    <t xml:space="preserve">Network Intrusion Detection Based on Feature Selection and Hybrid Metaheuristic Optimization</t>
  </si>
  <si>
    <t xml:space="preserve">Computers, materials &amp; continua/Computers, materials &amp; continua (Print)</t>
  </si>
  <si>
    <t xml:space="preserve">10.32604/cmc.2023.033273</t>
  </si>
  <si>
    <t xml:space="preserve">kNN</t>
  </si>
  <si>
    <t xml:space="preserve">rec_id R0319</t>
  </si>
  <si>
    <t xml:space="preserve">S021</t>
  </si>
  <si>
    <t xml:space="preserve">Fei ZHANG; Peining Zhen; Dishan Jing; Xiaotang Tang; Hai‐Bao Chen; Jie YAN</t>
  </si>
  <si>
    <t xml:space="preserve">SVM Based Intrusion Detection Method with Nonlinear Scaling and Feature Selection</t>
  </si>
  <si>
    <t xml:space="preserve">IEICE Transactions on Information and Systems</t>
  </si>
  <si>
    <t xml:space="preserve">10.1587/transinf.2021edp7184</t>
  </si>
  <si>
    <t xml:space="preserve">SVM, MLP/ANN/DNN, CNN</t>
  </si>
  <si>
    <t xml:space="preserve">rec_id R0341</t>
  </si>
  <si>
    <t xml:space="preserve">S022</t>
  </si>
  <si>
    <t xml:space="preserve">Ruqaya Abed Alhasan; Ekhlas Kadhum Hamza</t>
  </si>
  <si>
    <t xml:space="preserve">A Novel CNN Model with Dimensionality Reduction for WSN Intrusion Detection</t>
  </si>
  <si>
    <t xml:space="preserve">Revue d intelligence artificielle</t>
  </si>
  <si>
    <t xml:space="preserve">10.18280/ria.370504</t>
  </si>
  <si>
    <t xml:space="preserve">RF, SVM, DT, MLP/ANN/DNN, CNN</t>
  </si>
  <si>
    <t xml:space="preserve">UNSW-NB15, WSN-DS</t>
  </si>
  <si>
    <t xml:space="preserve">Single hold-out</t>
  </si>
  <si>
    <t xml:space="preserve">rec_id R0364</t>
  </si>
  <si>
    <t xml:space="preserve">S023</t>
  </si>
  <si>
    <t xml:space="preserve">Yakub Kayode Saheed; Aisha Abubakar Usman; Favour Dirwokmwa Sukat; Muftahu Abdulrahman</t>
  </si>
  <si>
    <t xml:space="preserve">A novel hybrid autoencoder and modified particle swarm optimization feature selection for intrusion detection in the internet of things network</t>
  </si>
  <si>
    <t xml:space="preserve">Frontiers in Computer Science</t>
  </si>
  <si>
    <t xml:space="preserve">10.3389/fcomp.2023.997159</t>
  </si>
  <si>
    <t xml:space="preserve">RF, SVM, DT, kNN, LightGBM, MLP/ANN/DNN, LSTM/GRU/RNN, Autoencoder</t>
  </si>
  <si>
    <t xml:space="preserve">NSL-KDD, KDD Cup 99, UNSW-NB15, Bot-IoT</t>
  </si>
  <si>
    <t xml:space="preserve">rec_id R0386</t>
  </si>
  <si>
    <t xml:space="preserve">S024</t>
  </si>
  <si>
    <t xml:space="preserve">Vijay Prakash Sharma; Narendra Singh Yadav; Sundar Suhrith Adavi; D. Sikha Datta Reddy; Brij Bhooshan Gupta</t>
  </si>
  <si>
    <t xml:space="preserve">A two stage hybrid intrusion detection using genetic algorithm in IoT networks</t>
  </si>
  <si>
    <t xml:space="preserve">Journal of Discrete Mathematical Sciences and Cryptography</t>
  </si>
  <si>
    <t xml:space="preserve">10.47974/jdmsc-1737</t>
  </si>
  <si>
    <t xml:space="preserve">kNN, CNN, LSTM/GRU/RNN</t>
  </si>
  <si>
    <t xml:space="preserve">rec_id R0388</t>
  </si>
  <si>
    <t xml:space="preserve">S025</t>
  </si>
  <si>
    <t xml:space="preserve">Demóstenes Zegarra Rodríguez; Ogobuchi Daniel Okey; Siti Sarah Maidin; Ekikere Umoren Udo; João Henrique Kleinschmidt</t>
  </si>
  <si>
    <t xml:space="preserve">Attentive transformer deep learning algorithm for intrusion detection on IoT systems using automatic Xplainable feature selection</t>
  </si>
  <si>
    <t xml:space="preserve">PLoS ONE</t>
  </si>
  <si>
    <t xml:space="preserve">10.1371/journal.pone.0286652</t>
  </si>
  <si>
    <t xml:space="preserve">DT, XGBoost, MLP/ANN/DNN, CNN, LSTM/GRU/RNN, Transformer/Attention</t>
  </si>
  <si>
    <t xml:space="preserve">CICIDS2017, CSE-CIC-IDS2018, CIC-DDoS2019</t>
  </si>
  <si>
    <t xml:space="preserve">rec_id R0418</t>
  </si>
  <si>
    <t xml:space="preserve">S026</t>
  </si>
  <si>
    <t xml:space="preserve">Mehmet Bozdal; K. Ileri; Ali Özkahraman</t>
  </si>
  <si>
    <t xml:space="preserve">Comparative analysis of dimensionality reduction techniques for cybersecurity in the SWaT dataset</t>
  </si>
  <si>
    <t xml:space="preserve">Journal of Supercomputing</t>
  </si>
  <si>
    <t xml:space="preserve">10.1007/s11227-023-05511-w</t>
  </si>
  <si>
    <t xml:space="preserve">DT, CNN, LSTM/GRU/RNN, Autoencoder</t>
  </si>
  <si>
    <t xml:space="preserve">SWaT</t>
  </si>
  <si>
    <t xml:space="preserve">rec_id R0431</t>
  </si>
  <si>
    <t xml:space="preserve">S027</t>
  </si>
  <si>
    <t xml:space="preserve">Archana Potnurwar; Vrushali K. Bongirwar; Samir N. Ajani; Prof. Nilesh Shelke; Mrunalee Dhone; Namita Parati</t>
  </si>
  <si>
    <t xml:space="preserve">Deep Learning-Based Rule-Based Feature Selection for Intrusion Detection in Industrial Internet of Things Networks</t>
  </si>
  <si>
    <t xml:space="preserve">International Journal of Intelligent Systems and Applications in Engineering</t>
  </si>
  <si>
    <t xml:space="preserve">RF, CNN</t>
  </si>
  <si>
    <t xml:space="preserve">NSL-KDD, UNSW-NB15</t>
  </si>
  <si>
    <t xml:space="preserve">rec_id R0442</t>
  </si>
  <si>
    <t xml:space="preserve">S028</t>
  </si>
  <si>
    <t xml:space="preserve">Ahmed S. Almasoud</t>
  </si>
  <si>
    <t xml:space="preserve">Enhanced Metaheuristics with Machine Learning Enabled Cyberattack Detection Model</t>
  </si>
  <si>
    <t xml:space="preserve">10.32604/iasc.2023.039718</t>
  </si>
  <si>
    <t xml:space="preserve">RF, SVM, DT, kNN, NB, LightGBM, MLP/ANN/DNN, CNN</t>
  </si>
  <si>
    <t xml:space="preserve">rec_id R0457</t>
  </si>
  <si>
    <t xml:space="preserve">S029</t>
  </si>
  <si>
    <t xml:space="preserve">Universiti Tun Hussein Onn Malaysia; Sharifah Shahmim Syed Othman; Cik Feresa Mohd Foozy; Universiti Tun Hussein Onn Malaysia; Siti Noor Baini Mustafa; Book Hack Enterprise</t>
  </si>
  <si>
    <t xml:space="preserve">Feature Selection of Distributed Denial of Service (DDos) IoT Bot Attack Detection Using Machine Learning Techniques</t>
  </si>
  <si>
    <t xml:space="preserve">Journal of Soft Computing and Data Mining</t>
  </si>
  <si>
    <t xml:space="preserve">10.30880/jscdm.2023.04.01.006</t>
  </si>
  <si>
    <t xml:space="preserve">RF, DT, kNN, NB</t>
  </si>
  <si>
    <t xml:space="preserve">rec_id R0475</t>
  </si>
  <si>
    <t xml:space="preserve">S030</t>
  </si>
  <si>
    <t xml:space="preserve">USIC&amp;T, G.G.S.I.P.U, New Delhi, India; Richa Singh; R. L. Ujjwal; USIC&amp;T, G.G.S.I.P.U, New Delhi, India</t>
  </si>
  <si>
    <t xml:space="preserve">Feature selection using bio-inspired optimization for IoT intrusion detection and prevention system</t>
  </si>
  <si>
    <t xml:space="preserve">International Journal on Information Technologies and Security</t>
  </si>
  <si>
    <t xml:space="preserve">10.59035/oexi6498</t>
  </si>
  <si>
    <t xml:space="preserve">XGBoost</t>
  </si>
  <si>
    <t xml:space="preserve">Bot-IoT, IoTID20</t>
  </si>
  <si>
    <t xml:space="preserve">rec_id R0477</t>
  </si>
  <si>
    <t xml:space="preserve">S031</t>
  </si>
  <si>
    <t xml:space="preserve">Rekha Gangula; Murali Mohan Vutukuru; Ranjeeth Kumar M.</t>
  </si>
  <si>
    <t xml:space="preserve">Hybridization of Bottlenose Dolphin Optimization and Artificial Fish Swarm Algorithm with Efficient Classifier for Detecting the Network Intrusion in Internet of Things (IoT)</t>
  </si>
  <si>
    <t xml:space="preserve">kNN, MLP/ANN/DNN, CNN, LSTM/GRU/RNN</t>
  </si>
  <si>
    <t xml:space="preserve">rec_id R0490</t>
  </si>
  <si>
    <t xml:space="preserve">S032</t>
  </si>
  <si>
    <t xml:space="preserve">Vu-Duc Ngo; Tuan-Cuong Vuong; Thien van Luong; H. Tran</t>
  </si>
  <si>
    <t xml:space="preserve">Machine learning-based intrusion detection: feature selection versus feature extraction</t>
  </si>
  <si>
    <t xml:space="preserve">Cluster Computing</t>
  </si>
  <si>
    <t xml:space="preserve">10.1007/s10586-023-04089-5</t>
  </si>
  <si>
    <t xml:space="preserve">RF, SVM, DT, NB, MLP/ANN/DNN, LSTM/GRU/RNN, Autoencoder</t>
  </si>
  <si>
    <t xml:space="preserve">rec_id R0534</t>
  </si>
  <si>
    <t xml:space="preserve">S033</t>
  </si>
  <si>
    <t xml:space="preserve">Rekha Gangula; Murali Mohan Vutukuru; Ranjeeth Kumar M</t>
  </si>
  <si>
    <t xml:space="preserve">Network Intrusion Detection Method Using Stacked BILSTM Elastic Regression Classifier with Aquila Optimizer Algorithm for Internet of Things (IoT)</t>
  </si>
  <si>
    <t xml:space="preserve">International Journal on Recent and Innovation Trends in Computing and Communication</t>
  </si>
  <si>
    <t xml:space="preserve">10.17762/ijritcc.v11i2s.6035</t>
  </si>
  <si>
    <t xml:space="preserve">MLP/ANN/DNN, CNN, LSTM/GRU/RNN</t>
  </si>
  <si>
    <t xml:space="preserve">rec_id R0542</t>
  </si>
  <si>
    <t xml:space="preserve">S034</t>
  </si>
  <si>
    <t xml:space="preserve">Oppositional Coyote Optimization based Feature Selection with Deep Learning Model for Intrusion Detection in Fog-Assisted Wireless Sensor Network</t>
  </si>
  <si>
    <t xml:space="preserve">Acta Montanistica Slovaca</t>
  </si>
  <si>
    <t xml:space="preserve">10.46544/ams.v28i2.18</t>
  </si>
  <si>
    <t xml:space="preserve">SVM, DT, AdaBoost, LSTM/GRU/RNN</t>
  </si>
  <si>
    <t xml:space="preserve">rec_id R0544</t>
  </si>
  <si>
    <t xml:space="preserve">S035</t>
  </si>
  <si>
    <t xml:space="preserve">Moody Alhanaya; K. Al-Shqeerat</t>
  </si>
  <si>
    <t xml:space="preserve">Performance Analysis of Intrusion Detection System in the IoT Environment Using Feature Selection Technique</t>
  </si>
  <si>
    <t xml:space="preserve">Intelligent Automation and Soft Computing</t>
  </si>
  <si>
    <t xml:space="preserve">10.32604/iasc.2023.036856</t>
  </si>
  <si>
    <t xml:space="preserve">RF, SVM, kNN</t>
  </si>
  <si>
    <t xml:space="preserve">rec_id R0555</t>
  </si>
  <si>
    <t xml:space="preserve">S036</t>
  </si>
  <si>
    <t xml:space="preserve">Mohammed Sayeeduddin Habeeb; Tummala Ranga Babu</t>
  </si>
  <si>
    <t xml:space="preserve">A Two-Phase Feature Selection Technique using Information Gain and XGBoost-RFE for NIDS</t>
  </si>
  <si>
    <t xml:space="preserve">XGBoost, MLP/ANN/DNN, CNN, LSTM/GRU/RNN</t>
  </si>
  <si>
    <t xml:space="preserve">rec_id R0619</t>
  </si>
  <si>
    <t xml:space="preserve">S037</t>
  </si>
  <si>
    <t xml:space="preserve">Hamdullah Karamollaoğlu; İbrahim Alper Doğru; İbrahim Yücedağ</t>
  </si>
  <si>
    <t xml:space="preserve">An Efficient Deep Learningbased Intrusion Detection System for Internet of Things Networks with Hybrid Feature Reduction and Data Balancing Techniques</t>
  </si>
  <si>
    <t xml:space="preserve">Information Technology And Control</t>
  </si>
  <si>
    <t xml:space="preserve">10.5755/j01.itc.53.1.34933</t>
  </si>
  <si>
    <t xml:space="preserve">SVM, kNN, NB, LR, AdaBoost, CNN, LSTM/GRU/RNN</t>
  </si>
  <si>
    <t xml:space="preserve">rec_id R0653</t>
  </si>
  <si>
    <t xml:space="preserve">S038</t>
  </si>
  <si>
    <t xml:space="preserve">Pinkey Chauhan; Mithilesh Atulkar</t>
  </si>
  <si>
    <t xml:space="preserve">An efficient attack detection approach for software defined Internet of Things using Jaya optimisation based feature selection technique</t>
  </si>
  <si>
    <t xml:space="preserve">International Journal of Communication Networks and Distributed Systems</t>
  </si>
  <si>
    <t xml:space="preserve">10.1504/ijcnds.2025.142985</t>
  </si>
  <si>
    <t xml:space="preserve">DT, LSTM/GRU/RNN</t>
  </si>
  <si>
    <t xml:space="preserve">rec_id R0674</t>
  </si>
  <si>
    <t xml:space="preserve">S039</t>
  </si>
  <si>
    <t xml:space="preserve">Ved S. Bilaskar; Shyam V. Aradhye; Snehal S. Shinde; Deepak D. Kshirsagar; Pushparaj R. Nimbalkar</t>
  </si>
  <si>
    <t xml:space="preserve">An intrusion detection system for industrial IoT using chi-square feature selection</t>
  </si>
  <si>
    <t xml:space="preserve">Journal of Statistics and Management Systems</t>
  </si>
  <si>
    <t xml:space="preserve">10.47974/jsms-1303</t>
  </si>
  <si>
    <t xml:space="preserve">UNSW-NB15, Bot-IoT, Edge-IIoTset</t>
  </si>
  <si>
    <t xml:space="preserve">rec_id R0683</t>
  </si>
  <si>
    <t xml:space="preserve">S040</t>
  </si>
  <si>
    <t xml:space="preserve">Kashi Sai Prasad; E. Laxmi Lydia; Masina Venkata Rajesh; K. Radhika; Janjhyam Venkata Naga Ramesh; N. Neelima; Srinivasa Rao Pokuri</t>
  </si>
  <si>
    <t xml:space="preserve">Augmenting cybersecurity through attention based stacked autoencoder with optimization algorithm for detection and mitigation of attacks on IoT assisted networks</t>
  </si>
  <si>
    <t xml:space="preserve">Scientific Reports</t>
  </si>
  <si>
    <t xml:space="preserve">10.1038/s41598-024-81162-y</t>
  </si>
  <si>
    <t xml:space="preserve">SVM, DT, kNN, MLP/ANN/DNN, CNN, Transformer/Attention, Autoencoder</t>
  </si>
  <si>
    <t xml:space="preserve">WSN-DS</t>
  </si>
  <si>
    <t xml:space="preserve">rec_id R0695</t>
  </si>
  <si>
    <t xml:space="preserve">S041</t>
  </si>
  <si>
    <t xml:space="preserve">Jisha Jose; J. E. Judith</t>
  </si>
  <si>
    <t xml:space="preserve">Deep Learning Model with Normalized Bayesian Optimizer for Anomaly Classification in IoT Security</t>
  </si>
  <si>
    <t xml:space="preserve">International Journal of Electronics and Communication Engineering</t>
  </si>
  <si>
    <t xml:space="preserve">10.14445/23488549/ijece-v11i8p119</t>
  </si>
  <si>
    <t xml:space="preserve">Wrapper-seq</t>
  </si>
  <si>
    <t xml:space="preserve">NB, CNN, LSTM/GRU/RNN</t>
  </si>
  <si>
    <t xml:space="preserve">IoT-23</t>
  </si>
  <si>
    <t xml:space="preserve">rec_id R0719</t>
  </si>
  <si>
    <t xml:space="preserve">S042</t>
  </si>
  <si>
    <t xml:space="preserve">Ameer Sameer Hamood Mohammed</t>
  </si>
  <si>
    <t xml:space="preserve">Detection and Prevention of Distributed Denial of Service (DDoS) Attacks using Metaheuristic and Machine Learning Techniques</t>
  </si>
  <si>
    <t xml:space="preserve">International Journal of Science and Research (IJSR)</t>
  </si>
  <si>
    <t xml:space="preserve">10.21275/sr241107015558</t>
  </si>
  <si>
    <t xml:space="preserve">SVM, MLP/ANN/DNN</t>
  </si>
  <si>
    <t xml:space="preserve">KDD Cup 99, UNSW-NB15, CICIDS2017</t>
  </si>
  <si>
    <t xml:space="preserve">rec_id R0724</t>
  </si>
  <si>
    <t xml:space="preserve">S043</t>
  </si>
  <si>
    <t xml:space="preserve">J. García; Jorge Entrena; Álvaro Alesanco</t>
  </si>
  <si>
    <t xml:space="preserve">Empirical evaluation of feature selection methods for machine learning based intrusion detection in IoT scenarios</t>
  </si>
  <si>
    <t xml:space="preserve">Internet of Things</t>
  </si>
  <si>
    <t xml:space="preserve">10.1016/j.iot.2024.101367</t>
  </si>
  <si>
    <t xml:space="preserve">RF, SVM, DT, kNN, NB, LR, MLP/ANN/DNN</t>
  </si>
  <si>
    <t xml:space="preserve">rec_id R0741</t>
  </si>
  <si>
    <t xml:space="preserve">S044</t>
  </si>
  <si>
    <t xml:space="preserve">R. Tino Merlin; R. Ravi</t>
  </si>
  <si>
    <t xml:space="preserve">Empowering Smart City IoT Network Intrusion Detection with Advanced Ensemble Learning-based Feature Selection</t>
  </si>
  <si>
    <t xml:space="preserve">International Journal of Electrical and Electronics Research</t>
  </si>
  <si>
    <t xml:space="preserve">10.37391/ijeer.120206</t>
  </si>
  <si>
    <t xml:space="preserve">rec_id R0743</t>
  </si>
  <si>
    <t xml:space="preserve">S045</t>
  </si>
  <si>
    <t xml:space="preserve">M. Hoang; N. V. Nguyen; T. Pham; Tram Nguyen; Tuan M. Dang; H. N. Nguyen</t>
  </si>
  <si>
    <t xml:space="preserve">Evaluating Dimensionality Reduction Methods for the Detection of Industrial IoT Attacks in Edge Computing</t>
  </si>
  <si>
    <t xml:space="preserve">International Journal of Computers Communications &amp; Control</t>
  </si>
  <si>
    <t xml:space="preserve">10.15837/ijccc.2024.5.6767</t>
  </si>
  <si>
    <t xml:space="preserve">Edge-IIoTset</t>
  </si>
  <si>
    <t xml:space="preserve">rec_id R0789</t>
  </si>
  <si>
    <t xml:space="preserve">S046</t>
  </si>
  <si>
    <t xml:space="preserve">K. Kavitha</t>
  </si>
  <si>
    <t xml:space="preserve">Feature Selection and Classification for Anomaly Detection in IoT Networks using Multi-layer Perceptron - Chaotic Ant Lion Optimization (MLP-CALO) Algorithm</t>
  </si>
  <si>
    <t xml:space="preserve">International Journal for Research in Applied Science and Engineering Technology</t>
  </si>
  <si>
    <t xml:space="preserve">10.22214/ijraset.2024.65236</t>
  </si>
  <si>
    <t xml:space="preserve">kNN, MLP/ANN/DNN</t>
  </si>
  <si>
    <t xml:space="preserve">rec_id R0797</t>
  </si>
  <si>
    <t xml:space="preserve">S047</t>
  </si>
  <si>
    <t xml:space="preserve">H. Kanakadurga Bella; S. Vasundra</t>
  </si>
  <si>
    <t xml:space="preserve">Healthcare Intrusion Detection using Hybrid Correlation-based Feature Selection-Bat Optimization Algorithm with Convolutional Neural Network</t>
  </si>
  <si>
    <t xml:space="preserve">International Journal of Advanced Computer Science and Applications</t>
  </si>
  <si>
    <t xml:space="preserve">10.14569/ijacsa.2024.0150166</t>
  </si>
  <si>
    <t xml:space="preserve">SVM, kNN, MLP/ANN/DNN, CNN</t>
  </si>
  <si>
    <t xml:space="preserve">NSL-KDD, CICIDS2017</t>
  </si>
  <si>
    <t xml:space="preserve">rec_id R0817</t>
  </si>
  <si>
    <t xml:space="preserve">S048</t>
  </si>
  <si>
    <t xml:space="preserve">Ram Ji; Neerendra Kumar; Devanand Padha</t>
  </si>
  <si>
    <t xml:space="preserve">Hybrid Enhanced Intrusion Detection Frameworks for Cyber-Physical Systems via Optimal Features Selection</t>
  </si>
  <si>
    <t xml:space="preserve">10.17485/ijst/v17i30.1794</t>
  </si>
  <si>
    <t xml:space="preserve">RF, SVM, DT, CNN</t>
  </si>
  <si>
    <t xml:space="preserve">NSL-KDD, CICIDS2017, CICIoT2023</t>
  </si>
  <si>
    <t xml:space="preserve">rec_id R0821</t>
  </si>
  <si>
    <t xml:space="preserve">S049</t>
  </si>
  <si>
    <t xml:space="preserve">Ankita Sharma; Shalli Rani; Maha Driss</t>
  </si>
  <si>
    <t xml:space="preserve">Hybrid evolutionary machine learning model for advanced intrusion detection architecture for cyber threat identification</t>
  </si>
  <si>
    <t xml:space="preserve">10.1371/journal.pone.0308206</t>
  </si>
  <si>
    <t xml:space="preserve">RF, SVM, DT, kNN, XGBoost, MLP/ANN/DNN</t>
  </si>
  <si>
    <t xml:space="preserve">rec_id R0825</t>
  </si>
  <si>
    <t xml:space="preserve">S050</t>
  </si>
  <si>
    <t xml:space="preserve">Nadia Alkhafaji; Thiago Viana; Ali Al-Sherbaz</t>
  </si>
  <si>
    <t xml:space="preserve">Integrated Genetic Algorithm and Deep Learning Approach for Effective Cyber-Attack Detection and Classification in Industrial Internet of Things (IIoT) Environments</t>
  </si>
  <si>
    <t xml:space="preserve">Arabian Journal for Science and Engineering</t>
  </si>
  <si>
    <t xml:space="preserve">10.1007/s13369-024-09663-6</t>
  </si>
  <si>
    <t xml:space="preserve">RF, SVM, DT, MLP/ANN/DNN, LSTM/GRU/RNN</t>
  </si>
  <si>
    <t xml:space="preserve">rec_id R0840</t>
  </si>
  <si>
    <t xml:space="preserve">S051</t>
  </si>
  <si>
    <t xml:space="preserve">Abdullah Hussain Abu Saq; A. Zainal; B. A. S. Al-rimy; Abdulrahman Alyami; H. Abosaq</t>
  </si>
  <si>
    <t xml:space="preserve">Intrusion Detection in IoT using Gaussian Fuzzy Mutual Information-based Feature Selection</t>
  </si>
  <si>
    <t xml:space="preserve">Engineering, Technology &amp;amp; Applied Science Research</t>
  </si>
  <si>
    <t xml:space="preserve">10.48084/etasr.8268</t>
  </si>
  <si>
    <t xml:space="preserve">CNN, LSTM/GRU/RNN</t>
  </si>
  <si>
    <t xml:space="preserve">WUSTL-IIoT</t>
  </si>
  <si>
    <t xml:space="preserve">rec_id R0853</t>
  </si>
  <si>
    <t xml:space="preserve">S052</t>
  </si>
  <si>
    <t xml:space="preserve">B Shweta; Rawat Seema; Hima Bindu Maringanti</t>
  </si>
  <si>
    <t xml:space="preserve">Intrusion Detection with Ant Colony Optimization Based Feature Selection and XGboost Classifier</t>
  </si>
  <si>
    <t xml:space="preserve">International Journal of Performability Engineering</t>
  </si>
  <si>
    <t xml:space="preserve">10.23940/ijpe.24.11.p1.649657</t>
  </si>
  <si>
    <t xml:space="preserve">SVM, DT, XGBoost, MLP/ANN/DNN</t>
  </si>
  <si>
    <t xml:space="preserve">rec_id R0855</t>
  </si>
  <si>
    <t xml:space="preserve">S053</t>
  </si>
  <si>
    <t xml:space="preserve">Gulab Sah; Sweety Singh; Subhasish Banerjee</t>
  </si>
  <si>
    <t xml:space="preserve">Intrusion detection system using classification algorithms with feature selection mechanism over real-time data traffic</t>
  </si>
  <si>
    <t xml:space="preserve">China Communications</t>
  </si>
  <si>
    <t xml:space="preserve">10.23919/jcc.fa.2022-0076.202409</t>
  </si>
  <si>
    <t xml:space="preserve">RF, SVM, DT, kNN, NB, LSTM/GRU/RNN</t>
  </si>
  <si>
    <t xml:space="preserve">rec_id R0858</t>
  </si>
  <si>
    <t xml:space="preserve">S054</t>
  </si>
  <si>
    <t xml:space="preserve">J. I. Christy Eunaicy; C. Jayapratha; H. Salome Hema Chitra</t>
  </si>
  <si>
    <t xml:space="preserve">IoT Guardian: A Novel Feature Discovery and Cooperative Game Theory Empowered Feature Selection with ML Model for IoT Threats &amp; Attack Detection</t>
  </si>
  <si>
    <t xml:space="preserve">International journal of Computer Networks &amp; Communications</t>
  </si>
  <si>
    <t xml:space="preserve">10.5121/ijcnc.2024.16202</t>
  </si>
  <si>
    <t xml:space="preserve">RF, SVM, DT, Autoencoder</t>
  </si>
  <si>
    <t xml:space="preserve">CICIoT2023</t>
  </si>
  <si>
    <t xml:space="preserve">rec_id R0861</t>
  </si>
  <si>
    <t xml:space="preserve">S055</t>
  </si>
  <si>
    <t xml:space="preserve">Weizhe Chen; Hongyu Yang; Lihua Yin; Xi Luo</t>
  </si>
  <si>
    <t xml:space="preserve">Large-scale IoT attack detection scheme based on LightGBM and feature selection using an improved salp swarm algorithm</t>
  </si>
  <si>
    <t xml:space="preserve">10.1038/s41598-024-69968-2</t>
  </si>
  <si>
    <t xml:space="preserve">RF, SVM, DT, kNN, XGBoost, LightGBM, CatBoost</t>
  </si>
  <si>
    <t xml:space="preserve">NSL-KDD, CICIoT2023</t>
  </si>
  <si>
    <t xml:space="preserve">rec_id R0868</t>
  </si>
  <si>
    <t xml:space="preserve">S056</t>
  </si>
  <si>
    <t xml:space="preserve">Valavan Woothukadu Thirumaran; Nalini Joseph; Umarani Srikanth</t>
  </si>
  <si>
    <t xml:space="preserve">Levy Flight – Pelican Optimization Algorithm Based Refined Long Short-Term Memory for Network Intrusion Detection System</t>
  </si>
  <si>
    <t xml:space="preserve">AdaBoost, MLP/ANN/DNN, CNN, LSTM/GRU/RNN</t>
  </si>
  <si>
    <t xml:space="preserve">NSL-KDD, UNSW-NB15, CICIDS2017, Bot-IoT</t>
  </si>
  <si>
    <t xml:space="preserve">rec_id R0871</t>
  </si>
  <si>
    <t xml:space="preserve">S057</t>
  </si>
  <si>
    <t xml:space="preserve">Oladimeji Agbolade Sofoluwe; Info Technologies; Pvt Ltd; T. Manojkumar</t>
  </si>
  <si>
    <t xml:space="preserve">Mahalanobis City Block distance-rider Optimization Algorithm-Based Neural Network enabled intrusion detection in the Internet of Things</t>
  </si>
  <si>
    <t xml:space="preserve">Journal of Networking and Communication Systems (JNACS)</t>
  </si>
  <si>
    <t xml:space="preserve">10.46253/jnacs.v7i4.a4</t>
  </si>
  <si>
    <t xml:space="preserve">MLP/ANN/DNN</t>
  </si>
  <si>
    <t xml:space="preserve">rec_id R0882</t>
  </si>
  <si>
    <t xml:space="preserve">S058</t>
  </si>
  <si>
    <t xml:space="preserve">Dhyaa Hasan Khamees; Essa Ibrahim Essa</t>
  </si>
  <si>
    <t xml:space="preserve">Minimizing time complexity for IOT-IDS based feature selection approach</t>
  </si>
  <si>
    <t xml:space="preserve">International Journal of Communication and Information Technology</t>
  </si>
  <si>
    <t xml:space="preserve">10.33545/2707661x.2024.v5.i1b.82</t>
  </si>
  <si>
    <t xml:space="preserve">RF, SVM, DT, kNN, LR</t>
  </si>
  <si>
    <t xml:space="preserve">rec_id R0885</t>
  </si>
  <si>
    <t xml:space="preserve">S059</t>
  </si>
  <si>
    <t xml:space="preserve">Vineeta Shrivastava</t>
  </si>
  <si>
    <t xml:space="preserve">Mitigating Generic Attacks for Intrusion Detection System Based on CGAN and FIPSO Using UNSW-NB 15 Dataset</t>
  </si>
  <si>
    <t xml:space="preserve">RF, DT, XGBoost, MLP/ANN/DNN, CNN, LSTM/GRU/RNN</t>
  </si>
  <si>
    <t xml:space="preserve">rec_id R0886</t>
  </si>
  <si>
    <t xml:space="preserve">S060</t>
  </si>
  <si>
    <t xml:space="preserve">Vinoth Kumar Kalimuthu; Rajakani Velumani</t>
  </si>
  <si>
    <t xml:space="preserve">Modeling of Intrusion Detection System Using Double Adaptive Weighting Arithmetic Optimization Algorithm with Deep Learning on Internet of Things Environment</t>
  </si>
  <si>
    <t xml:space="preserve">Brazilian Archives of Biology and Technology</t>
  </si>
  <si>
    <t xml:space="preserve">10.1590/1678-4324-2024231010</t>
  </si>
  <si>
    <t xml:space="preserve">rec_id R0889</t>
  </si>
  <si>
    <t xml:space="preserve">S061</t>
  </si>
  <si>
    <t xml:space="preserve">Ye-Seul Kil; Yu-Ran Jeon; Sun-Jin Lee; Il-Gu Lee</t>
  </si>
  <si>
    <t xml:space="preserve">Multi-Binary Classifiers Using Optimal Feature Selection for Memory-Saving Intrusion Detection Systems</t>
  </si>
  <si>
    <t xml:space="preserve">Computer Modeling in Engineering &amp; Sciences</t>
  </si>
  <si>
    <t xml:space="preserve">10.32604/cmes.2024.052637</t>
  </si>
  <si>
    <t xml:space="preserve">rec_id R0891</t>
  </si>
  <si>
    <t xml:space="preserve">S062</t>
  </si>
  <si>
    <t xml:space="preserve">Mohammed Tawfik</t>
  </si>
  <si>
    <t xml:space="preserve">Optimized intrusion detection in IoT and fog computing using ensemble learning and advanced feature selection</t>
  </si>
  <si>
    <t xml:space="preserve">10.1371/journal.pone.0304082</t>
  </si>
  <si>
    <t xml:space="preserve">CatBoost, MLP/ANN/DNN, CNN, LSTM/GRU/RNN, Transformer/Attention, Autoencoder</t>
  </si>
  <si>
    <t xml:space="preserve">NSL-KDD, UNSW-NB15, AWID</t>
  </si>
  <si>
    <t xml:space="preserve">rec_id R0915</t>
  </si>
  <si>
    <t xml:space="preserve">S063</t>
  </si>
  <si>
    <t xml:space="preserve">Eko Arip Winanto; Kurniabudi Kurniabudi; Sharipuddin Sharipuddin</t>
  </si>
  <si>
    <t xml:space="preserve">Optimizing Autoencoder-Based Feature Selection for Attack Detection in IoT Networks via Machine Learning Approaches</t>
  </si>
  <si>
    <t xml:space="preserve">Bulletin of Informatics and Data Science</t>
  </si>
  <si>
    <t xml:space="preserve">10.61944/bids.v3i2.104</t>
  </si>
  <si>
    <t xml:space="preserve">SVM, kNN, NB, Autoencoder</t>
  </si>
  <si>
    <t xml:space="preserve">rec_id R0916</t>
  </si>
  <si>
    <t xml:space="preserve">S064</t>
  </si>
  <si>
    <t xml:space="preserve">Hadeel Qasem Gheni; Wed Kadhim Oleiwi; Zahraa Al-Barmani; Mohammed A. M. Alabdali</t>
  </si>
  <si>
    <t xml:space="preserve">Optimizing Feature Selection for Intrusion Detection: A Hybrid Approach Using Cuckoo Search and Particle Swarm Optimization</t>
  </si>
  <si>
    <t xml:space="preserve">International Journal of Safety and Security Engineering</t>
  </si>
  <si>
    <t xml:space="preserve">10.18280/ijsse.140624</t>
  </si>
  <si>
    <t xml:space="preserve">RF, LR, AdaBoost, MLP/ANN/DNN</t>
  </si>
  <si>
    <t xml:space="preserve">rec_id R0919</t>
  </si>
  <si>
    <t xml:space="preserve">S065</t>
  </si>
  <si>
    <t xml:space="preserve">Muhammad Bisri Musthafa; Samsul Huda; Yuta Kodera; Md. Arshad Ali; Shunsuke Araki; Jedidah Mwaura; Yasuyuki Nogami</t>
  </si>
  <si>
    <t xml:space="preserve">Optimizing IoT Intrusion Detection Using Balanced Class Distribution, Feature Selection, and Ensemble Machine Learning Techniques</t>
  </si>
  <si>
    <t xml:space="preserve">Sensors</t>
  </si>
  <si>
    <t xml:space="preserve">10.3390/s24134293</t>
  </si>
  <si>
    <t xml:space="preserve">SVM, XGBoost, LSTM/GRU/RNN</t>
  </si>
  <si>
    <t xml:space="preserve">rec_id R0923</t>
  </si>
  <si>
    <t xml:space="preserve">S066</t>
  </si>
  <si>
    <t xml:space="preserve">Zaher Salah; E. Elsoud; Waleed T. Al-Sit; Esraa Alhenawi; F. Alshraiedeh; N. Alshdaifat</t>
  </si>
  <si>
    <t xml:space="preserve">Optimizing intrusion detection in 5G networks using dimensionality reduction techniques</t>
  </si>
  <si>
    <t xml:space="preserve">International Journal of Electrical and Computer Engineering (IJECE)</t>
  </si>
  <si>
    <t xml:space="preserve">10.11591/ijece.v14i5.pp5652-5671</t>
  </si>
  <si>
    <t xml:space="preserve">SVM, DT, kNN, NB, LR, MLP/ANN/DNN</t>
  </si>
  <si>
    <t xml:space="preserve">rec_id R0925</t>
  </si>
  <si>
    <t xml:space="preserve">S067</t>
  </si>
  <si>
    <t xml:space="preserve">Imane Laassar; Youssef Hadi; Arifullah Arifullah; Remmach Hassnae; Fawad Salam Khan</t>
  </si>
  <si>
    <t xml:space="preserve">Proposed algorithm base optimisation plan for feature selection-based intrusion detection in cloud computing</t>
  </si>
  <si>
    <t xml:space="preserve">Indonesian Journal of Electrical Engineering and Computer Science</t>
  </si>
  <si>
    <t xml:space="preserve">10.11591/ijeecs.v33.i2.pp1140-1149</t>
  </si>
  <si>
    <t xml:space="preserve">rec_id R0931</t>
  </si>
  <si>
    <t xml:space="preserve">S068</t>
  </si>
  <si>
    <t xml:space="preserve">Imane Laassar; Youssef Hadi</t>
  </si>
  <si>
    <t xml:space="preserve">Proposed algorithm base optimization scheme for intrusion detection using feature selection</t>
  </si>
  <si>
    <t xml:space="preserve">International Journal of Advances in Applied Sciences</t>
  </si>
  <si>
    <t xml:space="preserve">10.11591/ijaas.v13.i1.pp24-32</t>
  </si>
  <si>
    <t xml:space="preserve">RF, MLP/ANN/DNN, CNN</t>
  </si>
  <si>
    <t xml:space="preserve">rec_id R0932</t>
  </si>
  <si>
    <t xml:space="preserve">S069</t>
  </si>
  <si>
    <t xml:space="preserve">Mohammad Al-Omari; Qasem S. Abu Al-Haija</t>
  </si>
  <si>
    <t xml:space="preserve">Towards Robust IDSs: An Integrated Approach of Hybrid Feature Selection and Machine Learning</t>
  </si>
  <si>
    <t xml:space="preserve">Journal of Internet Services and Information Security</t>
  </si>
  <si>
    <t xml:space="preserve">10.58346/jisis.2024.i2.004</t>
  </si>
  <si>
    <t xml:space="preserve">SVM, DT, kNN, LR</t>
  </si>
  <si>
    <t xml:space="preserve">rec_id R0967</t>
  </si>
  <si>
    <t xml:space="preserve">S070</t>
  </si>
  <si>
    <t xml:space="preserve">Ahmed Saeed Alfakeeh</t>
  </si>
  <si>
    <t xml:space="preserve">A Blockchain-Enabled IoT Framework for Secure Attack Detection and Advanced Feature Selection in Smart Healthcare</t>
  </si>
  <si>
    <t xml:space="preserve">Engineering Technology &amp; Applied Science Research</t>
  </si>
  <si>
    <t xml:space="preserve">10.48084/etasr.13349</t>
  </si>
  <si>
    <t xml:space="preserve">kNN, XGBoost, CNN, LSTM/GRU/RNN, Autoencoder</t>
  </si>
  <si>
    <t xml:space="preserve">TON_IoT</t>
  </si>
  <si>
    <t xml:space="preserve">rec_id R0979</t>
  </si>
  <si>
    <t xml:space="preserve">S071</t>
  </si>
  <si>
    <t xml:space="preserve">Hidangmayum Satyajeet Sharma; Khundrakpam Johnson Singh</t>
  </si>
  <si>
    <t xml:space="preserve">A Genetic Algorithm based Feature Selection and CNN based Ensemble Model for Intrusion Detection in IoT Smart Environments</t>
  </si>
  <si>
    <t xml:space="preserve">Journal of Scientific &amp; Industrial Research</t>
  </si>
  <si>
    <t xml:space="preserve">10.56042/jsir.v84i1.11616</t>
  </si>
  <si>
    <t xml:space="preserve">CNN</t>
  </si>
  <si>
    <t xml:space="preserve">UNSW-NB15, CICIoT2023</t>
  </si>
  <si>
    <t xml:space="preserve">rec_id R0995</t>
  </si>
  <si>
    <t xml:space="preserve">S072</t>
  </si>
  <si>
    <t xml:space="preserve">Jyoti Mante; Kishor R. Kolhe</t>
  </si>
  <si>
    <t xml:space="preserve">A Novel DDoS detection framework leveraging hybrid binary grey wolf optimization and explainable AI</t>
  </si>
  <si>
    <t xml:space="preserve">Journal of Information and Optimization Sciences</t>
  </si>
  <si>
    <t xml:space="preserve">10.47974/jios-1960</t>
  </si>
  <si>
    <t xml:space="preserve">RF, SVM, DT, kNN, XGBoost, AdaBoost</t>
  </si>
  <si>
    <t xml:space="preserve">rec_id R1031</t>
  </si>
  <si>
    <t xml:space="preserve">S073</t>
  </si>
  <si>
    <t xml:space="preserve">Nadia Ansar; Suraiya Parveen; I. Khan; Bhavya Alankar</t>
  </si>
  <si>
    <t xml:space="preserve">A Scalable Hybrid RF-BiLSTM Framework for Reliable IoT Traffic Threat Detection via Feature Selection and Temporal Pattern Recognition</t>
  </si>
  <si>
    <t xml:space="preserve">EAI Endorsed Transactions on Internet of Things</t>
  </si>
  <si>
    <t xml:space="preserve">10.4108/eetiot.10283</t>
  </si>
  <si>
    <t xml:space="preserve">RF, SVM, DT, kNN, XGBoost, CNN, LSTM/GRU/RNN, Transformer/Attention</t>
  </si>
  <si>
    <t xml:space="preserve">IoT-23, Kaggle (unspecified)</t>
  </si>
  <si>
    <t xml:space="preserve">rec_id R1045</t>
  </si>
  <si>
    <t xml:space="preserve">S074</t>
  </si>
  <si>
    <t xml:space="preserve">Fayaz Hassan; Zafi Sherhan Syed; Aftab Ahmed Memon; Saad Said Alqahtany; Nadeem Ahmed; Mana Saleh Al Reshan; Yousef Asiri; Asadullah Shaikh</t>
  </si>
  <si>
    <t xml:space="preserve">A hybrid approach for intrusion detection in vehicular networks using feature selection and dimensionality reduction with optimized deep learning</t>
  </si>
  <si>
    <t xml:space="preserve">10.1371/journal.pone.0312752</t>
  </si>
  <si>
    <t xml:space="preserve">CICIDS2017</t>
  </si>
  <si>
    <t xml:space="preserve">rec_id R1055</t>
  </si>
  <si>
    <t xml:space="preserve">S075</t>
  </si>
  <si>
    <t xml:space="preserve">Md. Alamin Talukder; Majdi Khalid; Nasrin Sultana</t>
  </si>
  <si>
    <t xml:space="preserve">A hybrid machine learning model for intrusion detection in wireless sensor networks leveraging data balancing and dimensionality reduction</t>
  </si>
  <si>
    <t xml:space="preserve">10.1038/s41598-025-87028-1</t>
  </si>
  <si>
    <t xml:space="preserve">RF, DT, XGBoost, LightGBM, CatBoost, CNN</t>
  </si>
  <si>
    <t xml:space="preserve">TON_IoT, WSN-DS</t>
  </si>
  <si>
    <t xml:space="preserve">rec_id R1059</t>
  </si>
  <si>
    <t xml:space="preserve">S076</t>
  </si>
  <si>
    <t xml:space="preserve">Dainan Zhang; Dehui Huang; Yanying Chen; Songquan Lin; Chuxuan Li</t>
  </si>
  <si>
    <t xml:space="preserve">A lightweight IoT intrusion detection method based on two-stage feature selection and Bayesian optimization</t>
  </si>
  <si>
    <t xml:space="preserve">AIMS Electronics and Electrical Engineering</t>
  </si>
  <si>
    <t xml:space="preserve">10.3934/electreng.2025017</t>
  </si>
  <si>
    <t xml:space="preserve">SVM, DT, XGBoost, LightGBM, CatBoost, MLP/ANN/DNN</t>
  </si>
  <si>
    <t xml:space="preserve">UNSW-NB15, TON_IoT</t>
  </si>
  <si>
    <t xml:space="preserve">rec_id R1061</t>
  </si>
  <si>
    <t xml:space="preserve">S077</t>
  </si>
  <si>
    <t xml:space="preserve">S Kumar Reddy Mallidi; Rajeswara Rao Ramisetty</t>
  </si>
  <si>
    <t xml:space="preserve">A multi-level intrusion detection system for industrial IoT using bowerbird courtship-inspired feature selection and hybrid data balancing</t>
  </si>
  <si>
    <t xml:space="preserve">Discover Computing</t>
  </si>
  <si>
    <t xml:space="preserve">10.1007/s10791-025-09632-z</t>
  </si>
  <si>
    <t xml:space="preserve">SVM, kNN, LR, XGBoost, MLP/ANN/DNN, CNN, LSTM/GRU/RNN</t>
  </si>
  <si>
    <t xml:space="preserve">rec_id R1065</t>
  </si>
  <si>
    <t xml:space="preserve">S078</t>
  </si>
  <si>
    <t xml:space="preserve">Tarek Abid; Ahmed Ahmim; Faiz Maazouzi; Djalel Chefrour; Insaf Ullah; Marwa Ahmim; Reham Almukhlifi</t>
  </si>
  <si>
    <t xml:space="preserve">A novel IoT threat detection using GWO feature selection and CNN-enhanced LightGBM</t>
  </si>
  <si>
    <t xml:space="preserve">Journal of Cloud Computing Advances Systems and Applications</t>
  </si>
  <si>
    <t xml:space="preserve">10.1186/s13677-025-00785-2</t>
  </si>
  <si>
    <t xml:space="preserve">RF, SVM, DT, LightGBM, MLP/ANN/DNN, CNN, LSTM/GRU/RNN</t>
  </si>
  <si>
    <t xml:space="preserve">CICIoT2023, CICIoMT2024</t>
  </si>
  <si>
    <t xml:space="preserve">rec_id R1068</t>
  </si>
  <si>
    <t xml:space="preserve">S079</t>
  </si>
  <si>
    <t xml:space="preserve">Kashi Sai Prasad; P Udayakumar; E. Laxmi Lydia; Mohammed Altaf Ahmed; Mohamad Khairi Ishak; Faten Khalid Karim; Samih M. Mostafa</t>
  </si>
  <si>
    <t xml:space="preserve">A two-tier optimization strategy for feature selection in robust adversarial attack mitigation on internet of things network security</t>
  </si>
  <si>
    <t xml:space="preserve">10.1038/s41598-025-85878-3</t>
  </si>
  <si>
    <t xml:space="preserve">SVM, XGBoost, MLP/ANN/DNN, CNN, LSTM/GRU/RNN, Autoencoder</t>
  </si>
  <si>
    <t xml:space="preserve">RT-IoT2022</t>
  </si>
  <si>
    <t xml:space="preserve">rec_id R1080</t>
  </si>
  <si>
    <t xml:space="preserve">S080</t>
  </si>
  <si>
    <t xml:space="preserve">Swetha Madireddy</t>
  </si>
  <si>
    <t xml:space="preserve">AN APPLIED MATHEMATICAL FRAMEWORK FOR PRIVACY-PRESERVING INTRUSION DETECTION USING FEATURE SELECTION AND FUSION MODELS.</t>
  </si>
  <si>
    <t xml:space="preserve">International Journal of Apllied Mathematics</t>
  </si>
  <si>
    <t xml:space="preserve">10.12732/ijam.v38i5s.356</t>
  </si>
  <si>
    <t xml:space="preserve">NSL-KDD, UNSW-NB15, CICIDS2017</t>
  </si>
  <si>
    <t xml:space="preserve">rec_id R1097</t>
  </si>
  <si>
    <t xml:space="preserve">S081</t>
  </si>
  <si>
    <t xml:space="preserve">Muhammad Hafizh Dzaki; Adhitya Nugraha; Ardytha Luthfiarta; A. Riyanto; Yohanes Deny Novandian</t>
  </si>
  <si>
    <t xml:space="preserve">Accelerating Classification For Iot Attack Detection Using Decision Tree Model With Gini Impurity Tree-Based Feature Selection Technique</t>
  </si>
  <si>
    <t xml:space="preserve">Jurnal Teknik Informatika (Jutif)</t>
  </si>
  <si>
    <t xml:space="preserve">10.52436/1.jutif.2025.6.5.3817</t>
  </si>
  <si>
    <t xml:space="preserve">DT, LR</t>
  </si>
  <si>
    <t xml:space="preserve">rec_id R1102</t>
  </si>
  <si>
    <t xml:space="preserve">S082</t>
  </si>
  <si>
    <t xml:space="preserve">Ahmed B. Abdulkareem</t>
  </si>
  <si>
    <t xml:space="preserve">Advances in IoT Intrusion Detection: Deploying Hybrid Deep Learning and Metaheuristic Algorithms for Optimal Feature Selection</t>
  </si>
  <si>
    <t xml:space="preserve">Ingénierie des systèmes d information</t>
  </si>
  <si>
    <t xml:space="preserve">10.18280/isi.300419</t>
  </si>
  <si>
    <t xml:space="preserve">rec_id R1111</t>
  </si>
  <si>
    <t xml:space="preserve">S083</t>
  </si>
  <si>
    <t xml:space="preserve">Isam Bahaa Aldallal; A. A. Ibrahim; Saadaldeen Rashid Ahmed</t>
  </si>
  <si>
    <t xml:space="preserve">An Intelligent Multi-Stage GA–SVM Hybrid Optimization Framework for Feature Engineering and Intrusion Detection in Internet of Things Networks</t>
  </si>
  <si>
    <t xml:space="preserve">Computers, Materials &amp;amp; Continua</t>
  </si>
  <si>
    <t xml:space="preserve">10.32604/cmc.2025.075212</t>
  </si>
  <si>
    <t xml:space="preserve">RF, SVM, kNN, MLP/ANN/DNN, CNN, LSTM/GRU/RNN</t>
  </si>
  <si>
    <t xml:space="preserve">rec_id R1134</t>
  </si>
  <si>
    <t xml:space="preserve">S084</t>
  </si>
  <si>
    <t xml:space="preserve">Huan Ma; Wan Zhang; Dalong Zhang; Baozhan Chen</t>
  </si>
  <si>
    <t xml:space="preserve">An IoT intrusion detection framework based on feature selection and large language models fine-tuning</t>
  </si>
  <si>
    <t xml:space="preserve">10.1038/s41598-025-08905-3</t>
  </si>
  <si>
    <t xml:space="preserve">LightGBM</t>
  </si>
  <si>
    <t xml:space="preserve">TON_IoT, NF-ToN-IoT/NetFlow</t>
  </si>
  <si>
    <t xml:space="preserve">rec_id R1137</t>
  </si>
  <si>
    <t xml:space="preserve">S085</t>
  </si>
  <si>
    <t xml:space="preserve">G Logeswari; K. Thangaramya; M. Selvi; J. Deepika Roselind</t>
  </si>
  <si>
    <t xml:space="preserve">An improved synergistic dual-layer feature selection algorithm with two type classifier for efficient intrusion detection in IoT environment</t>
  </si>
  <si>
    <t xml:space="preserve">10.1038/s41598-025-91663-z</t>
  </si>
  <si>
    <t xml:space="preserve">SVM, DT, kNN, XGBoost, LightGBM, MLP/ANN/DNN</t>
  </si>
  <si>
    <t xml:space="preserve">rec_id R1152</t>
  </si>
  <si>
    <t xml:space="preserve">S086</t>
  </si>
  <si>
    <t xml:space="preserve">Hayam Alamro; Sami Saad Albouq; Jahangir Khan; Meshari Huwaytim Alanazi; Nojood O. Aljehane; Jehad Saad Alqurni; Mohammed Mujib Alshahrani; Ohud Abdullah Alasmari</t>
  </si>
  <si>
    <t xml:space="preserve">An intelligent deep representation learning with enhanced feature selection approach for cyberattack detection in internet of things enabled cloud environment</t>
  </si>
  <si>
    <t xml:space="preserve">10.1038/s41598-025-13457-7</t>
  </si>
  <si>
    <t xml:space="preserve">RF, SVM, kNN, XGBoost, LightGBM, MLP/ANN/DNN, CNN, LSTM/GRU/RNN</t>
  </si>
  <si>
    <t xml:space="preserve">TON_IoT, Edge-IIoTset</t>
  </si>
  <si>
    <t xml:space="preserve">rec_id R1153</t>
  </si>
  <si>
    <t xml:space="preserve">S087</t>
  </si>
  <si>
    <t xml:space="preserve">Raheleh Ghadami</t>
  </si>
  <si>
    <t xml:space="preserve">An intrusion detection system in the Internet of Things with deep learning and an improved arithmetic optimization algorithm (AOA) and sine cosine algorithm (SCA)</t>
  </si>
  <si>
    <t xml:space="preserve">10.1038/s41598-025-22074-3</t>
  </si>
  <si>
    <t xml:space="preserve">MLP/ANN/DNN, CNN, LSTM/GRU/RNN, Transformer/Attention</t>
  </si>
  <si>
    <t xml:space="preserve">rec_id R1157</t>
  </si>
  <si>
    <t xml:space="preserve">S088</t>
  </si>
  <si>
    <t xml:space="preserve">Lulu Zhang</t>
  </si>
  <si>
    <t xml:space="preserve">Anomaly-based Intrusion Detection in IoT using Enhanced Kepler Optimization Algorithm for Feature Selection</t>
  </si>
  <si>
    <t xml:space="preserve">Informatica</t>
  </si>
  <si>
    <t xml:space="preserve">10.31449/inf.v49i11.8708</t>
  </si>
  <si>
    <t xml:space="preserve">SVM, DT, kNN, CNN</t>
  </si>
  <si>
    <t xml:space="preserve">rec_id R1168</t>
  </si>
  <si>
    <t xml:space="preserve">S089</t>
  </si>
  <si>
    <t xml:space="preserve">Jawhara Aljabri</t>
  </si>
  <si>
    <t xml:space="preserve">Attack resilient IoT security framework using multi head attention based representation learning with improved white shark optimization algorithm</t>
  </si>
  <si>
    <t xml:space="preserve">10.1038/s41598-025-98180-z</t>
  </si>
  <si>
    <t xml:space="preserve">AdaBoost, CNN, LSTM/GRU/RNN, Transformer/Attention</t>
  </si>
  <si>
    <t xml:space="preserve">rec_id R1177</t>
  </si>
  <si>
    <t xml:space="preserve">S090</t>
  </si>
  <si>
    <t xml:space="preserve">V. V. S. H. Prasad; Swathi Sowmya Bavirthi; C. S. S. Anupama; E. Laxmi Lydia; K. Sathesh Kumar; Khalid Ammar; Mohamad Khairi Ishak</t>
  </si>
  <si>
    <t xml:space="preserve">Blockchain enhanced distributed denial of service detection in IoT using deep learning and evolutionary computation</t>
  </si>
  <si>
    <t xml:space="preserve">10.1038/s41598-025-06568-8</t>
  </si>
  <si>
    <t xml:space="preserve">XGBoost, MLP/ANN/DNN, LSTM/GRU/RNN</t>
  </si>
  <si>
    <t xml:space="preserve">rec_id R1185</t>
  </si>
  <si>
    <t xml:space="preserve">S091</t>
  </si>
  <si>
    <t xml:space="preserve">Abeer A. K. Alharbi</t>
  </si>
  <si>
    <t xml:space="preserve">Blockchain-driven cybersecurity detection model using quantum bidirectional gated recurrent unit with metaheuristic algorithms on IoT environment</t>
  </si>
  <si>
    <t xml:space="preserve">AIMS Mathematics</t>
  </si>
  <si>
    <t xml:space="preserve">10.3934/math.2025732</t>
  </si>
  <si>
    <t xml:space="preserve">SVM, CNN, LSTM/GRU/RNN</t>
  </si>
  <si>
    <t xml:space="preserve">rec_id R1187</t>
  </si>
  <si>
    <t xml:space="preserve">S092</t>
  </si>
  <si>
    <t xml:space="preserve">Lahcen Idouglid; Said Tkatek; Khalid El Fayq</t>
  </si>
  <si>
    <t xml:space="preserve">Boosting industrial internet of things intrusion detection: leveraging machine learning and feature selection techniques</t>
  </si>
  <si>
    <t xml:space="preserve">IAES International Journal of Artificial Intelligence</t>
  </si>
  <si>
    <t xml:space="preserve">10.11591/ijai.v14.i2.pp1232-1241</t>
  </si>
  <si>
    <t xml:space="preserve">RF, SVM, DT, kNN, XGBoost, AdaBoost, MLP/ANN/DNN, LSTM/GRU/RNN</t>
  </si>
  <si>
    <t xml:space="preserve">UNSW-NB15, Bot-IoT, Kaggle (unspecified)</t>
  </si>
  <si>
    <t xml:space="preserve">rec_id R1191</t>
  </si>
  <si>
    <t xml:space="preserve">S093</t>
  </si>
  <si>
    <t xml:space="preserve">Shalini Sharma; Supriya Khaitan; Gayatri Hegde; Divya Rohatgi; Nusrat Parveen; Suhas Janardan Lawand</t>
  </si>
  <si>
    <t xml:space="preserve">Contraction control factor-based gorilla troop optimizer for features in intrusion detection systems</t>
  </si>
  <si>
    <t xml:space="preserve">10.11591/ijaas.v14.i2.pp373-383</t>
  </si>
  <si>
    <t xml:space="preserve">UNSW-NB15, CICIDS2017</t>
  </si>
  <si>
    <t xml:space="preserve">rec_id R1211</t>
  </si>
  <si>
    <t xml:space="preserve">S094</t>
  </si>
  <si>
    <t xml:space="preserve">Zahra Bakhshali; Alireza Pourebrahimi; Ahmad Ebrahimi; Nazanin Pilevari</t>
  </si>
  <si>
    <t xml:space="preserve">Designing a Hybrid Algorithm that Combines Deep Learning and PSO for Proactive Detection of Attacks in IoT Networks</t>
  </si>
  <si>
    <t xml:space="preserve">Journal of Information Systems and Telecommunication (JIST)</t>
  </si>
  <si>
    <t xml:space="preserve">10.61882/jist.48455.13.50.130</t>
  </si>
  <si>
    <t xml:space="preserve">SVM, MLP/ANN/DNN, CNN, LSTM/GRU/RNN</t>
  </si>
  <si>
    <t xml:space="preserve">rec_id R1231</t>
  </si>
  <si>
    <t xml:space="preserve">S095</t>
  </si>
  <si>
    <t xml:space="preserve">Mustabeen Aziz; Muhammad Usman Sana; Tayybah Kiren; Tahmina Ehsan; Alvena Ehsan; Fateha Minahil</t>
  </si>
  <si>
    <t xml:space="preserve">Detection of Application-Layer Dos Attacks in IoT Devices Using Feature Selection and Machine Learning Models</t>
  </si>
  <si>
    <t xml:space="preserve">International Journal of Innovative Science &amp; Technology</t>
  </si>
  <si>
    <t xml:space="preserve">10.33411/ijist/1246</t>
  </si>
  <si>
    <t xml:space="preserve">RF, SVM, DT, kNN, NB, LR, MLP/ANN/DNN, CNN, LSTM/GRU/RNN</t>
  </si>
  <si>
    <t xml:space="preserve">CIC-DDoS2019</t>
  </si>
  <si>
    <t xml:space="preserve">rec_id R1234</t>
  </si>
  <si>
    <t xml:space="preserve">S096</t>
  </si>
  <si>
    <t xml:space="preserve">S. O. Abdulsalam; Tijani Mubarak Adewale; K. K. Saka; Abdulrauf U.T</t>
  </si>
  <si>
    <t xml:space="preserve">Development of an Intrusion Detection System Using Mayfly Feature Selection and Support Vector Machine Algorithms</t>
  </si>
  <si>
    <t xml:space="preserve">Uniosun Journal of Engineering and Environmental Sciences</t>
  </si>
  <si>
    <t xml:space="preserve">10.36108/ujees/5202.70.0173</t>
  </si>
  <si>
    <t xml:space="preserve">SVM, kNN, MLP/ANN/DNN, LSTM/GRU/RNN</t>
  </si>
  <si>
    <t xml:space="preserve">rec_id R1239</t>
  </si>
  <si>
    <t xml:space="preserve">S097</t>
  </si>
  <si>
    <t xml:space="preserve">Brindhadevi J</t>
  </si>
  <si>
    <t xml:space="preserve">EFFICIENT DETECTION AND MITIGATION OF SYBIL AND CLONE ID ATTACKS IN IOT USING PARTICLE SWARM OPTIMIZED DECISION TREE</t>
  </si>
  <si>
    <t xml:space="preserve">International Journal of Applied Mathematics</t>
  </si>
  <si>
    <t xml:space="preserve">10.12732/ijam.v38i5.600</t>
  </si>
  <si>
    <t xml:space="preserve">rec_id R1247</t>
  </si>
  <si>
    <t xml:space="preserve">S098</t>
  </si>
  <si>
    <t xml:space="preserve">S. Mukkamala</t>
  </si>
  <si>
    <t xml:space="preserve">Efficient Intrusion Detection using Feature Engineering Based on Deep Spectral Artificial Neural Network for IOT Network</t>
  </si>
  <si>
    <t xml:space="preserve">International journal of multidisciplinary research and analysis</t>
  </si>
  <si>
    <t xml:space="preserve">10.47191/ijmra/v8-i11-25</t>
  </si>
  <si>
    <t xml:space="preserve">rec_id R1257</t>
  </si>
  <si>
    <t xml:space="preserve">S099</t>
  </si>
  <si>
    <t xml:space="preserve">B.Karthikeyan; K.Kamali</t>
  </si>
  <si>
    <t xml:space="preserve">Energy Efficient Intrusion Detection System (IDS) and Feature Selection for IoT using DNN Model</t>
  </si>
  <si>
    <t xml:space="preserve">International Journal For Multidisciplinary Research</t>
  </si>
  <si>
    <t xml:space="preserve">10.36948/ijfmr.2025.v07i01.36636</t>
  </si>
  <si>
    <t xml:space="preserve">Other</t>
  </si>
  <si>
    <t xml:space="preserve">rec_id R1262</t>
  </si>
  <si>
    <t xml:space="preserve">S100</t>
  </si>
  <si>
    <t xml:space="preserve">Abeer Gabbar Abed</t>
  </si>
  <si>
    <t xml:space="preserve">Enhanced Feature Selection With EFPA for Ensemble Intrusion Detection</t>
  </si>
  <si>
    <t xml:space="preserve">Procedia of Engineering and Life Science</t>
  </si>
  <si>
    <t xml:space="preserve">10.21070/pels.v8i1.2673</t>
  </si>
  <si>
    <t xml:space="preserve">RF, SVM, DT, kNN, Autoencoder</t>
  </si>
  <si>
    <t xml:space="preserve">rec_id R1270</t>
  </si>
  <si>
    <t xml:space="preserve">S101</t>
  </si>
  <si>
    <t xml:space="preserve">Saad Said Alqahtany; Asadullah Shaikh; Ali Alqazzaz</t>
  </si>
  <si>
    <t xml:space="preserve">Enhanced Grey Wolf Optimization (EGWO) and random forest based mechanism for intrusion detection in IoT networks</t>
  </si>
  <si>
    <t xml:space="preserve">10.1038/s41598-024-81147-x</t>
  </si>
  <si>
    <t xml:space="preserve">rec_id R1272</t>
  </si>
  <si>
    <t xml:space="preserve">S102</t>
  </si>
  <si>
    <t xml:space="preserve">Umair Abid; Naeem Aslam; Ahmed Naeem; Muhammad Fuzail; Muhammad Imran</t>
  </si>
  <si>
    <t xml:space="preserve">Enhancing Intrusion Detection in AIOT using Intelligent Feature Selection and Deep Learning Fusion</t>
  </si>
  <si>
    <t xml:space="preserve">Journal of Computing &amp; Biomedical Informatics</t>
  </si>
  <si>
    <t xml:space="preserve">rec_id R1290</t>
  </si>
  <si>
    <t xml:space="preserve">S103</t>
  </si>
  <si>
    <t xml:space="preserve">Pradeep Kumar; Prakhar Gupta; Harsh Som; Om Gupta</t>
  </si>
  <si>
    <t xml:space="preserve">Enhancing IoT Security using Feature Reduction Techniques</t>
  </si>
  <si>
    <t xml:space="preserve">10.22214/ijraset.2025.69739</t>
  </si>
  <si>
    <t xml:space="preserve">DT, kNN, NB, MLP/ANN/DNN, Autoencoder</t>
  </si>
  <si>
    <t xml:space="preserve">rec_id R1305</t>
  </si>
  <si>
    <t xml:space="preserve">S104</t>
  </si>
  <si>
    <t xml:space="preserve">A. Kalaivani; P. Kavitha; G. Dhivya; D. Aruna; T. Thulasi; Xu Yong; Choon Kit Chan; P. Rani</t>
  </si>
  <si>
    <t xml:space="preserve">Enhancing IoT-based healthcare security with grey filter bayesian CNN and optimization algorithms</t>
  </si>
  <si>
    <t xml:space="preserve">10.1038/s41598-025-22453-w</t>
  </si>
  <si>
    <t xml:space="preserve">SVM, CNN</t>
  </si>
  <si>
    <t xml:space="preserve">rec_id R1312</t>
  </si>
  <si>
    <t xml:space="preserve">S105</t>
  </si>
  <si>
    <t xml:space="preserve">Enhancing data processing efficiency in IoT intrusion detection systems through feature reduction</t>
  </si>
  <si>
    <t xml:space="preserve">Journal of Science &amp; Technology</t>
  </si>
  <si>
    <t xml:space="preserve">10.57001/huih5804.2025.350</t>
  </si>
  <si>
    <t xml:space="preserve">RF, DT, kNN, LightGBM, MLP/ANN/DNN, Autoencoder</t>
  </si>
  <si>
    <t xml:space="preserve">rec_id R1314</t>
  </si>
  <si>
    <t xml:space="preserve">S106</t>
  </si>
  <si>
    <t xml:space="preserve">Adel Hamdan; Muhannad Tahboush; Mohammad Ibrahim Adawy; Tariq Alwada’n; Sameh Ghwanmeh</t>
  </si>
  <si>
    <t xml:space="preserve">Feature Reduction and Anomaly Detection in IoT Using Machine Learning Algorithms</t>
  </si>
  <si>
    <t xml:space="preserve">10.14569/ijacsa.2025.0160146</t>
  </si>
  <si>
    <t xml:space="preserve">RF, SVM, DT, kNN, NB, LR, XGBoost, MLP/ANN/DNN, Autoencoder</t>
  </si>
  <si>
    <t xml:space="preserve">rec_id R1344</t>
  </si>
  <si>
    <t xml:space="preserve">S107</t>
  </si>
  <si>
    <t xml:space="preserve">Jing Guo; Wen Chen; Xu ZHANG</t>
  </si>
  <si>
    <t xml:space="preserve">GOA-WO-ML: Enhancing Internet of Things Security with Gannet Optimization and Walrus Optimizer-Based Machine Learning</t>
  </si>
  <si>
    <t xml:space="preserve">10.14569/ijacsa.2025.0160554</t>
  </si>
  <si>
    <t xml:space="preserve">RF, SVM, kNN, XGBoost, LightGBM, CNN</t>
  </si>
  <si>
    <t xml:space="preserve">rec_id R1370</t>
  </si>
  <si>
    <t xml:space="preserve">S108</t>
  </si>
  <si>
    <t xml:space="preserve">Raghupathi Manthena; R. Vangipuram</t>
  </si>
  <si>
    <t xml:space="preserve">Hybrid Feature Selection and Deep Neural Architectures for Real-Time Distributed Denial of Service Detection in Cybersecurity Systems</t>
  </si>
  <si>
    <t xml:space="preserve">Journal of Applied Science and Technology Trends</t>
  </si>
  <si>
    <t xml:space="preserve">10.38094/jastt62303</t>
  </si>
  <si>
    <t xml:space="preserve">SVM, kNN, MLP/ANN/DNN, CNN, LSTM/GRU/RNN</t>
  </si>
  <si>
    <t xml:space="preserve">NSL-KDD, CSE-CIC-IDS2018, CIC-DDoS2019</t>
  </si>
  <si>
    <t xml:space="preserve">rec_id R1388</t>
  </si>
  <si>
    <t xml:space="preserve">S109</t>
  </si>
  <si>
    <t xml:space="preserve">Seungyeon Baek; Jueun Jeon; Byeonghui Jeong; Young-Sik Jeong</t>
  </si>
  <si>
    <t xml:space="preserve">Hybrid Meta-Heuristic Feature Selection Model for Network Traffic-Based Intrusion Detection in AIoT</t>
  </si>
  <si>
    <t xml:space="preserve">Computer Modeling in Engineering &amp;amp; Sciences</t>
  </si>
  <si>
    <t xml:space="preserve">10.32604/cmes.2025.070679</t>
  </si>
  <si>
    <t xml:space="preserve">RF, DT, kNN, XGBoost, LightGBM, MLP/ANN/DNN, CNN, LSTM/GRU/RNN</t>
  </si>
  <si>
    <t xml:space="preserve">rec_id R1397</t>
  </si>
  <si>
    <t xml:space="preserve">S110</t>
  </si>
  <si>
    <t xml:space="preserve">Thierry Widyatama; Ifan Rizqa; F. Rafrastara</t>
  </si>
  <si>
    <t xml:space="preserve">Improving Attack Detection in IoV with Class Balancing and Feature Selection</t>
  </si>
  <si>
    <t xml:space="preserve">JOURNAL OF APPLIED INFORMATICS AND COMPUTING</t>
  </si>
  <si>
    <t xml:space="preserve">10.30871/jaic.v9i2.9080</t>
  </si>
  <si>
    <t xml:space="preserve">RF, DT, NB, LR, XGBoost, AdaBoost, MLP/ANN/DNN, LSTM/GRU/RNN</t>
  </si>
  <si>
    <t xml:space="preserve">CICIoV2024</t>
  </si>
  <si>
    <t xml:space="preserve">rec_id R1420</t>
  </si>
  <si>
    <t xml:space="preserve">S111</t>
  </si>
  <si>
    <t xml:space="preserve">M. Karthikeyan; R Brindha; Maria Manuel Vianny; V. Vaitheeshwaran; Mrinal Rahul Bachute; Sanket Mishra; Bibhuti Bhusan Dash</t>
  </si>
  <si>
    <t xml:space="preserve">Integration of metaheuristic based feature selection with ensemble representation learning models for privacy aware cyberattack detection in IoT environments</t>
  </si>
  <si>
    <t xml:space="preserve">10.1038/s41598-025-05545-5</t>
  </si>
  <si>
    <t xml:space="preserve">LightGBM, MLP/ANN/DNN, LSTM/GRU/RNN, Autoencoder</t>
  </si>
  <si>
    <t xml:space="preserve">rec_id R1434</t>
  </si>
  <si>
    <t xml:space="preserve">S112</t>
  </si>
  <si>
    <t xml:space="preserve">Mohammed Abdullah; Ryna Svyd</t>
  </si>
  <si>
    <t xml:space="preserve">Intelligent Cyber-Attack Detection in IoT Networks Using IDAOA-Based Wrapper Feature Selection</t>
  </si>
  <si>
    <t xml:space="preserve">Wasit Journal of Pure sciences</t>
  </si>
  <si>
    <t xml:space="preserve">10.31185/wjps.731</t>
  </si>
  <si>
    <t xml:space="preserve">kNN, AdaBoost, CNN, LSTM/GRU/RNN</t>
  </si>
  <si>
    <t xml:space="preserve">rec_id R1436</t>
  </si>
  <si>
    <t xml:space="preserve">S113</t>
  </si>
  <si>
    <t xml:space="preserve">Vaman Shakir; Firas Mahmood Mustafa</t>
  </si>
  <si>
    <t xml:space="preserve">Interpretable Ensemble-Based Intrusion Detection Using Feature Selection on the ToN_IoT Dataset</t>
  </si>
  <si>
    <t xml:space="preserve">JISA(Jurnal Informatika dan Sains)</t>
  </si>
  <si>
    <t xml:space="preserve">10.31326/jisa.v8i2.2487</t>
  </si>
  <si>
    <t xml:space="preserve">RF, DT, kNN, XGBoost, LightGBM, MLP/ANN/DNN, CNN, LSTM/GRU/RNN, Autoencoder</t>
  </si>
  <si>
    <t xml:space="preserve">rec_id R1443</t>
  </si>
  <si>
    <t xml:space="preserve">S114</t>
  </si>
  <si>
    <t xml:space="preserve">Alaa A. Almelibari</t>
  </si>
  <si>
    <t xml:space="preserve">Intrusion Detection System Traffic Classification Based on Machine Learning with Correlation-Based Filtering and a Genetic Algorithm-Inspired Feature Selection Method for IoT Networks</t>
  </si>
  <si>
    <t xml:space="preserve">10.48084/etasr.13511</t>
  </si>
  <si>
    <t xml:space="preserve">RF, SVM, DT, kNN, CNN, LSTM/GRU/RNN</t>
  </si>
  <si>
    <t xml:space="preserve">IoTID20</t>
  </si>
  <si>
    <t xml:space="preserve">rec_id R1447</t>
  </si>
  <si>
    <t xml:space="preserve">S115</t>
  </si>
  <si>
    <t xml:space="preserve">C. Satya Kumar, N. Sambasiva Rao, G. Venkata Rami Reddy</t>
  </si>
  <si>
    <t xml:space="preserve">IoT Intrusion Detection with Mutual Information Feature Selection and Machine Learning Classifiers</t>
  </si>
  <si>
    <t xml:space="preserve">Communications on Applied Nonlinear Analysis</t>
  </si>
  <si>
    <t xml:space="preserve">10.52783/cana.v32.5821</t>
  </si>
  <si>
    <t xml:space="preserve">RF, SVM, DT</t>
  </si>
  <si>
    <t xml:space="preserve">rec_id R1467</t>
  </si>
  <si>
    <t xml:space="preserve">S116</t>
  </si>
  <si>
    <t xml:space="preserve">Mohamed Bal-Ghaoui; Fayssal Sabri</t>
  </si>
  <si>
    <t xml:space="preserve">LLM-FS-Agent: A Deliberative Role-based Large Language Model Architecture for Transparent Feature Selection</t>
  </si>
  <si>
    <t xml:space="preserve">IAES International Journal of Artificial Intelligence (IJ-AI)</t>
  </si>
  <si>
    <t xml:space="preserve">10.11591/ijai.v15.i5.pp4026-4038</t>
  </si>
  <si>
    <t xml:space="preserve">CIC-DIAD2024</t>
  </si>
  <si>
    <t xml:space="preserve">rec_id R1475</t>
  </si>
  <si>
    <t xml:space="preserve">S117</t>
  </si>
  <si>
    <t xml:space="preserve">Jing Hong Guo; Dejun ZHU; Qing Xu</t>
  </si>
  <si>
    <t xml:space="preserve">Metaheuristic-Driven Feature Selection for IoT Intrusion Detection: A Hierarchical Arithmetic Optimization Approach</t>
  </si>
  <si>
    <t xml:space="preserve">10.14569/ijacsa.2025.0160664</t>
  </si>
  <si>
    <t xml:space="preserve">RF, SVM, DT, CNN, LSTM/GRU/RNN</t>
  </si>
  <si>
    <t xml:space="preserve">rec_id R1503</t>
  </si>
  <si>
    <t xml:space="preserve">S118</t>
  </si>
  <si>
    <t xml:space="preserve">Sultan Alkhliwi</t>
  </si>
  <si>
    <t xml:space="preserve">Modelling of hybrid deep learning framework with recursive feature elimination for distributed denial of service attack detection systems</t>
  </si>
  <si>
    <t xml:space="preserve">10.1038/s41598-025-22936-w</t>
  </si>
  <si>
    <t xml:space="preserve">SVM, DT, kNN, NB, MLP/ANN/DNN, CNN, LSTM/GRU/RNN, Transformer/Attention</t>
  </si>
  <si>
    <t xml:space="preserve">CICIDS2017, Edge-IIoTset</t>
  </si>
  <si>
    <t xml:space="preserve">rec_id R1507</t>
  </si>
  <si>
    <t xml:space="preserve">S119</t>
  </si>
  <si>
    <t xml:space="preserve">B.Karthikeyan,</t>
  </si>
  <si>
    <t xml:space="preserve">Optimized Feature Selection techniques for Distributed Intrusion Detection System (DIDS) in IoT Environment</t>
  </si>
  <si>
    <t xml:space="preserve">Journal of Information Systems Engineering &amp; Management</t>
  </si>
  <si>
    <t xml:space="preserve">10.52783/jisem.v10i11s.1518</t>
  </si>
  <si>
    <t xml:space="preserve">rec_id R1527</t>
  </si>
  <si>
    <t xml:space="preserve">S120</t>
  </si>
  <si>
    <t xml:space="preserve">T. Saranya; S. Indra Priyadharshini</t>
  </si>
  <si>
    <t xml:space="preserve">Optimized intrusion detection for IoT networks using Cauchy–Gaussian hybrid evolutionary feature selection</t>
  </si>
  <si>
    <t xml:space="preserve">10.1038/s41598-025-29884-5</t>
  </si>
  <si>
    <t xml:space="preserve">RF, DT, kNN, XGBoost, AdaBoost, CNN, LSTM/GRU/RNN</t>
  </si>
  <si>
    <t xml:space="preserve">CICIDS2017, IoTID20</t>
  </si>
  <si>
    <t xml:space="preserve">rec_id R1535</t>
  </si>
  <si>
    <t xml:space="preserve">S121</t>
  </si>
  <si>
    <t xml:space="preserve">Manar Bashar Mortatha; D. Abdulah</t>
  </si>
  <si>
    <t xml:space="preserve">Optimizing IoT Intrusion Detection and Attack Classification via WOA-Based Feature Reduction and Boosting Algorithms</t>
  </si>
  <si>
    <t xml:space="preserve">10.18280/ijsse.151019</t>
  </si>
  <si>
    <t xml:space="preserve">RF, SVM, DT, NB, XGBoost, CatBoost, MLP/ANN/DNN, CNN, LSTM/GRU/RNN, Autoencoder</t>
  </si>
  <si>
    <t xml:space="preserve">rec_id R1540</t>
  </si>
  <si>
    <t xml:space="preserve">S122</t>
  </si>
  <si>
    <t xml:space="preserve">Padmavathi Vurubindi; Jaroslav Frnda; Canavoy Narahari Sujatha; Parameshachari Bidare Divakarachari; G. S. Nijaguna; A. Mahendar</t>
  </si>
  <si>
    <t xml:space="preserve">Optimizing feature selection with random reversal and adaptive Gaussian based Dung beetle optimizer for intrusion detection system in IoT</t>
  </si>
  <si>
    <t xml:space="preserve">10.1038/s41598-025-29278-7</t>
  </si>
  <si>
    <t xml:space="preserve">rec_id R1544</t>
  </si>
  <si>
    <t xml:space="preserve">S123</t>
  </si>
  <si>
    <t xml:space="preserve">Zulhipni Reno Saputra Elsi; Ahmad Affandi Supli; Jimmie Jimmie; Muhammad Ghozi Al-Faris; David Agustianto Rapel</t>
  </si>
  <si>
    <t xml:space="preserve">Optimizing intrusion detection with data balancing and feature selection techniques</t>
  </si>
  <si>
    <t xml:space="preserve">Sinergi</t>
  </si>
  <si>
    <t xml:space="preserve">10.22441/sinergi.2025.3.019</t>
  </si>
  <si>
    <t xml:space="preserve">SVM, DT, CatBoost, MLP/ANN/DNN, CNN, LSTM/GRU/RNN</t>
  </si>
  <si>
    <t xml:space="preserve">NSL-KDD, UNSW-NB15, CICIDS2017, RT-IoT2022</t>
  </si>
  <si>
    <t xml:space="preserve">rec_id R1545</t>
  </si>
  <si>
    <t xml:space="preserve">S124</t>
  </si>
  <si>
    <t xml:space="preserve">J. Jasmine Shirley; M. Priya</t>
  </si>
  <si>
    <t xml:space="preserve">PSO-DT based BagDT: a robust lightweight ensemble framework for efficient feature selection and DDoS attack detection in IoT environment</t>
  </si>
  <si>
    <t xml:space="preserve">10.1038/s41598-025-20175-7</t>
  </si>
  <si>
    <t xml:space="preserve">DT, kNN, AdaBoost</t>
  </si>
  <si>
    <t xml:space="preserve">rec_id R1550</t>
  </si>
  <si>
    <t xml:space="preserve">S125</t>
  </si>
  <si>
    <t xml:space="preserve">Fatma S. Alrayes; Mohammed Maray; Asma Alshuhail; Khaled Mohamad Almustafa; Abdulbasit A. Darem; Ali Mohammed Al-Sharafi; Shoayee Dlaim Alotaibi</t>
  </si>
  <si>
    <t xml:space="preserve">Privacy-preserving approach for IoT networks using statistical learning with optimization algorithm on high-dimensional big data environment</t>
  </si>
  <si>
    <t xml:space="preserve">10.1038/s41598-025-87454-1</t>
  </si>
  <si>
    <t xml:space="preserve">SVM, XGBoost, CNN</t>
  </si>
  <si>
    <t xml:space="preserve">rec_id R1562</t>
  </si>
  <si>
    <t xml:space="preserve">S126</t>
  </si>
  <si>
    <t xml:space="preserve">QryptaShield: Quantum-Inspired Feature Selection and RL-Calibrated Federated Learning for Low-False-Positive IoT Intrusion Detection</t>
  </si>
  <si>
    <t xml:space="preserve">10.14445/23488549/ijece-v12i10p115</t>
  </si>
  <si>
    <t xml:space="preserve">SVM, kNN, NB, LR, AdaBoost, MLP/ANN/DNN, CNN</t>
  </si>
  <si>
    <t xml:space="preserve">N-BaIoT, IoT-23</t>
  </si>
  <si>
    <t xml:space="preserve">rec_id R1568</t>
  </si>
  <si>
    <t xml:space="preserve">S127</t>
  </si>
  <si>
    <t xml:space="preserve">Sunil Kaushik; Akashdeep Bhardwaj; Ahmad Almogren; Salil Bharany; Ayman Altameem; Ateeq Ur Rehman; Seada Hussen; Habib Hamam</t>
  </si>
  <si>
    <t xml:space="preserve">Robust machine learning based Intrusion detection system using simple statistical techniques in feature selection</t>
  </si>
  <si>
    <t xml:space="preserve">10.1038/s41598-025-88286-9</t>
  </si>
  <si>
    <t xml:space="preserve">NSL-KDD, IoTID20</t>
  </si>
  <si>
    <t xml:space="preserve">rec_id R1592</t>
  </si>
  <si>
    <t xml:space="preserve">S128</t>
  </si>
  <si>
    <t xml:space="preserve">Mohammed Aly; Naif M. Alotaibi</t>
  </si>
  <si>
    <t xml:space="preserve">SHAP enhanced transformer GWO boosting model for transparent and robust anomaly detection in IIoT environments</t>
  </si>
  <si>
    <t xml:space="preserve">10.1038/s41598-025-25033-0</t>
  </si>
  <si>
    <t xml:space="preserve">RF, SVM, XGBoost, LSTM/GRU/RNN, Transformer/Attention, Autoencoder</t>
  </si>
  <si>
    <t xml:space="preserve">rec_id R1596</t>
  </si>
  <si>
    <t xml:space="preserve">S129</t>
  </si>
  <si>
    <t xml:space="preserve">Dr.A.Devi Mrs.B.Praveena</t>
  </si>
  <si>
    <t xml:space="preserve">SWARM BASED FEATURE SELECTION AND ENSEMBLE DEEP LEARNING MODEL (EDLM) FOR BOTNET ATTACK DETECTION IN IoT HEALTHCARE SYSTEMS</t>
  </si>
  <si>
    <t xml:space="preserve">International Journal of Innovation Studies</t>
  </si>
  <si>
    <t xml:space="preserve">Bot-IoT, N-BaIoT</t>
  </si>
  <si>
    <t xml:space="preserve">rec_id R1600</t>
  </si>
  <si>
    <t xml:space="preserve">S130</t>
  </si>
  <si>
    <t xml:space="preserve">Behnam Seyedi; Octavian Adrian Postolache</t>
  </si>
  <si>
    <t xml:space="preserve">Securing IoT Communications via Anomaly Traffic Detection: Synergy of Genetic Algorithm and Ensemble Method</t>
  </si>
  <si>
    <t xml:space="preserve">10.3390/s25134098</t>
  </si>
  <si>
    <t xml:space="preserve">RF, SVM, DT, XGBoost, CNN</t>
  </si>
  <si>
    <t xml:space="preserve">rec_id R1606</t>
  </si>
  <si>
    <t xml:space="preserve">QA1</t>
  </si>
  <si>
    <t xml:space="preserve">QA2</t>
  </si>
  <si>
    <t xml:space="preserve">QA3</t>
  </si>
  <si>
    <t xml:space="preserve">QA4</t>
  </si>
  <si>
    <t xml:space="preserve">QA5</t>
  </si>
  <si>
    <t xml:space="preserve">QA6</t>
  </si>
  <si>
    <t xml:space="preserve">QA7</t>
  </si>
  <si>
    <t xml:space="preserve">QA8</t>
  </si>
  <si>
    <t xml:space="preserve">Total (0–8)</t>
  </si>
  <si>
    <t xml:space="preserve">Grade</t>
  </si>
  <si>
    <t xml:space="preserve">1 Dataset &amp; preprocessing</t>
  </si>
  <si>
    <t xml:space="preserve">2 Class setting &amp; imbalance</t>
  </si>
  <si>
    <t xml:space="preserve">3 FS inside training folds</t>
  </si>
  <si>
    <t xml:space="preserve">4 Full FS specification</t>
  </si>
  <si>
    <t xml:space="preserve">5 Selected feature list</t>
  </si>
  <si>
    <t xml:space="preserve">6 Repeated runs mean±sd</t>
  </si>
  <si>
    <t xml:space="preserve">7 Baselines</t>
  </si>
  <si>
    <t xml:space="preserve">8 Class-sensitive metrics</t>
  </si>
  <si>
    <t xml:space="preserve">9 Significance testing</t>
  </si>
  <si>
    <t xml:space="preserve">10 Cost on stated hardware</t>
  </si>
  <si>
    <t xml:space="preserve">11 ≥2 datasets / cross-dataset</t>
  </si>
  <si>
    <t xml:space="preserve">12 Code released</t>
  </si>
  <si>
    <t xml:space="preserve">Items met</t>
  </si>
  <si>
    <t xml:space="preserve">DRL level</t>
  </si>
  <si>
    <t xml:space="preserve">DRL-0</t>
  </si>
  <si>
    <t xml:space="preserve">DRL-2</t>
  </si>
  <si>
    <t xml:space="preserve">DRL-1</t>
  </si>
  <si>
    <t xml:space="preserve">DRL-3</t>
  </si>
  <si>
    <t xml:space="preserve">Item</t>
  </si>
  <si>
    <t xml:space="preserve">Count</t>
  </si>
  <si>
    <t xml:space="preserve">OpenAlex hits</t>
  </si>
  <si>
    <t xml:space="preserve">Semantic Scholar hits</t>
  </si>
  <si>
    <t xml:space="preserve">—</t>
  </si>
  <si>
    <t xml:space="preserve">Records identified (total)</t>
  </si>
  <si>
    <t xml:space="preserve">Duplicates removed</t>
  </si>
  <si>
    <t xml:space="preserve">Records excluded at title/abstract</t>
  </si>
  <si>
    <t xml:space="preserve">Full texts excluded: EC1 (not IoT 2, not IDS 1)</t>
  </si>
  <si>
    <t xml:space="preserve">Full texts excluded: EC2 (extraction only)</t>
  </si>
  <si>
    <t xml:space="preserve">Full texts excluded: EC3 (no experiments/dataset)</t>
  </si>
  <si>
    <t xml:space="preserve">Full texts excluded: retracted (1) or non-English (1)</t>
  </si>
  <si>
    <t xml:space="preserve">Reports not retrieved or unreadable</t>
  </si>
  <si>
    <t xml:space="preserve">Added by snowballing</t>
  </si>
  <si>
    <t xml:space="preserve">Cohen's kappa (title/abstract screening)</t>
  </si>
  <si>
    <t xml:space="preserve">n/a (single reviewer)</t>
  </si>
  <si>
    <t xml:space="preserve">Search start (month/year)</t>
  </si>
  <si>
    <t xml:space="preserve">2018 (publication years 2018–2025)</t>
  </si>
  <si>
    <t xml:space="preserve">Final search date</t>
  </si>
  <si>
    <t xml:space="preserve">22 Oct 2026</t>
  </si>
  <si>
    <t xml:space="preserve">Records screened (title/abstract)</t>
  </si>
  <si>
    <t xml:space="preserve">Reports sought for retrieval</t>
  </si>
  <si>
    <t xml:space="preserve">Not retrieved/unreadable + full-text exclusions</t>
  </si>
  <si>
    <t xml:space="preserve">Studies included</t>
  </si>
  <si>
    <t xml:space="preserve">Check: included should equal 130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</si>
</sst>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1"/>
      <color theme="1"/>
      <name val="Arial"/>
      <family val="2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9"/>
      <name val="Arial"/>
      <family val="0"/>
      <charset val="1"/>
    </font>
    <font>
      <sz val="9"/>
      <color rgb="FF0000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U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</row>
    <row r="3" customFormat="false" ht="15" hidden="false" customHeight="false" outlineLevel="0" collapsed="false">
      <c r="A3" s="3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</row>
    <row r="4" customFormat="false" ht="15" hidden="false" customHeight="false" outlineLevel="0" collapsed="false">
      <c r="A4" s="3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</row>
    <row r="5" customFormat="false" ht="15" hidden="false" customHeight="false" outlineLevel="0" collapsed="false">
      <c r="A5" s="3" t="s">
        <v>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</row>
    <row r="6" customFormat="false" ht="15" hidden="false" customHeight="false" outlineLevel="0" collapsed="false">
      <c r="A6" s="3" t="s">
        <v>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</row>
    <row r="7" customFormat="false" ht="15" hidden="false" customHeight="false" outlineLevel="0" collapsed="false">
      <c r="A7" s="3" t="s">
        <v>6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</row>
    <row r="8" customFormat="false" ht="15" hidden="false" customHeight="false" outlineLevel="0" collapsed="false">
      <c r="A8" s="3" t="s">
        <v>7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</row>
    <row r="9" customFormat="false" ht="15" hidden="false" customHeight="false" outlineLevel="0" collapsed="false">
      <c r="A9" s="3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</row>
    <row r="10" customFormat="false" ht="15" hidden="false" customHeight="false" outlineLevel="0" collapsed="false">
      <c r="A10" s="4" t="s">
        <v>8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</row>
    <row r="11" customFormat="false" ht="15" hidden="false" customHeight="fals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</row>
    <row r="12" customFormat="false" ht="15" hidden="false" customHeight="false" outlineLevel="0" collapsed="false">
      <c r="A12" s="5" t="s">
        <v>9</v>
      </c>
      <c r="B12" s="5" t="s">
        <v>10</v>
      </c>
      <c r="C12" s="5" t="s">
        <v>11</v>
      </c>
      <c r="D12" s="5" t="s">
        <v>12</v>
      </c>
      <c r="E12" s="5" t="s">
        <v>13</v>
      </c>
      <c r="F12" s="5" t="s">
        <v>14</v>
      </c>
      <c r="G12" s="5" t="s">
        <v>15</v>
      </c>
      <c r="H12" s="5" t="s">
        <v>16</v>
      </c>
      <c r="I12" s="5" t="s">
        <v>17</v>
      </c>
      <c r="J12" s="5" t="s">
        <v>18</v>
      </c>
      <c r="K12" s="5" t="s">
        <v>19</v>
      </c>
      <c r="L12" s="5" t="s">
        <v>20</v>
      </c>
      <c r="M12" s="5" t="s">
        <v>21</v>
      </c>
      <c r="N12" s="5" t="s">
        <v>22</v>
      </c>
      <c r="O12" s="5" t="s">
        <v>23</v>
      </c>
      <c r="P12" s="5" t="s">
        <v>24</v>
      </c>
      <c r="Q12" s="5" t="s">
        <v>25</v>
      </c>
      <c r="R12" s="5" t="s">
        <v>26</v>
      </c>
      <c r="S12" s="5" t="s">
        <v>27</v>
      </c>
      <c r="T12" s="5" t="s">
        <v>28</v>
      </c>
      <c r="U12" s="5" t="s">
        <v>29</v>
      </c>
      <c r="V12" s="5" t="s">
        <v>30</v>
      </c>
      <c r="W12" s="5" t="s">
        <v>31</v>
      </c>
      <c r="X12" s="5" t="s">
        <v>32</v>
      </c>
      <c r="Y12" s="5" t="s">
        <v>33</v>
      </c>
      <c r="Z12" s="5" t="s">
        <v>34</v>
      </c>
      <c r="AA12" s="5" t="s">
        <v>35</v>
      </c>
      <c r="AB12" s="5" t="s">
        <v>36</v>
      </c>
      <c r="AC12" s="5" t="s">
        <v>37</v>
      </c>
      <c r="AD12" s="5" t="s">
        <v>38</v>
      </c>
      <c r="AE12" s="5" t="s">
        <v>39</v>
      </c>
      <c r="AF12" s="5" t="s">
        <v>40</v>
      </c>
      <c r="AG12" s="5" t="s">
        <v>41</v>
      </c>
      <c r="AH12" s="5" t="s">
        <v>42</v>
      </c>
      <c r="AI12" s="5" t="s">
        <v>43</v>
      </c>
      <c r="AJ12" s="5" t="s">
        <v>44</v>
      </c>
      <c r="AK12" s="5" t="s">
        <v>45</v>
      </c>
      <c r="AL12" s="5" t="s">
        <v>46</v>
      </c>
      <c r="AM12" s="5" t="s">
        <v>47</v>
      </c>
      <c r="AN12" s="5" t="s">
        <v>48</v>
      </c>
      <c r="AO12" s="5" t="s">
        <v>49</v>
      </c>
      <c r="AP12" s="5" t="s">
        <v>50</v>
      </c>
      <c r="AQ12" s="5" t="s">
        <v>51</v>
      </c>
      <c r="AR12" s="5" t="s">
        <v>52</v>
      </c>
      <c r="AS12" s="5" t="s">
        <v>53</v>
      </c>
      <c r="AT12" s="5" t="s">
        <v>54</v>
      </c>
      <c r="AU12" s="5" t="s">
        <v>55</v>
      </c>
    </row>
    <row r="13" customFormat="false" ht="15" hidden="false" customHeight="false" outlineLevel="0" collapsed="false">
      <c r="A13" s="6" t="s">
        <v>56</v>
      </c>
      <c r="B13" s="6" t="s">
        <v>57</v>
      </c>
      <c r="C13" s="6" t="n">
        <v>2020</v>
      </c>
      <c r="D13" s="6" t="s">
        <v>58</v>
      </c>
      <c r="E13" s="6" t="s">
        <v>59</v>
      </c>
      <c r="F13" s="6" t="s">
        <v>60</v>
      </c>
      <c r="G13" s="6"/>
      <c r="H13" s="6"/>
      <c r="I13" s="6"/>
      <c r="J13" s="6"/>
      <c r="K13" s="6" t="s">
        <v>61</v>
      </c>
      <c r="L13" s="6"/>
      <c r="M13" s="6"/>
      <c r="N13" s="6" t="s">
        <v>19</v>
      </c>
      <c r="O13" s="6" t="s">
        <v>62</v>
      </c>
      <c r="P13" s="6"/>
      <c r="Q13" s="6" t="s">
        <v>63</v>
      </c>
      <c r="R13" s="6"/>
      <c r="S13" s="6" t="s">
        <v>64</v>
      </c>
      <c r="T13" s="6" t="n">
        <v>1</v>
      </c>
      <c r="U13" s="6"/>
      <c r="V13" s="6"/>
      <c r="W13" s="6" t="s">
        <v>65</v>
      </c>
      <c r="X13" s="6"/>
      <c r="Y13" s="6"/>
      <c r="Z13" s="6"/>
      <c r="AA13" s="6"/>
      <c r="AB13" s="6"/>
      <c r="AC13" s="6"/>
      <c r="AD13" s="6"/>
      <c r="AE13" s="6"/>
      <c r="AF13" s="6"/>
      <c r="AG13" s="6" t="s">
        <v>66</v>
      </c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</row>
    <row r="14" customFormat="false" ht="15" hidden="false" customHeight="false" outlineLevel="0" collapsed="false">
      <c r="A14" s="7" t="s">
        <v>67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14"/>
    <col collapsed="false" customWidth="true" hidden="false" outlineLevel="0" max="3" min="3" style="0" width="45"/>
  </cols>
  <sheetData>
    <row r="1" customFormat="false" ht="45" hidden="false" customHeight="true" outlineLevel="0" collapsed="false">
      <c r="A1" s="8" t="s">
        <v>68</v>
      </c>
      <c r="B1" s="8" t="s">
        <v>69</v>
      </c>
      <c r="C1" s="8" t="s">
        <v>70</v>
      </c>
    </row>
    <row r="2" customFormat="false" ht="15" hidden="false" customHeight="false" outlineLevel="0" collapsed="false">
      <c r="A2" s="3" t="s">
        <v>71</v>
      </c>
      <c r="B2" s="3" t="n">
        <f aca="false">COUNTA(Studies!$D$2:$D$131)</f>
        <v>130</v>
      </c>
      <c r="C2" s="3" t="s">
        <v>72</v>
      </c>
    </row>
    <row r="3" customFormat="false" ht="15" hidden="false" customHeight="false" outlineLevel="0" collapsed="false">
      <c r="A3" s="3" t="s">
        <v>73</v>
      </c>
      <c r="B3" s="3" t="n">
        <f aca="false">MIN(Studies!$C$2:$C$131)</f>
        <v>2019</v>
      </c>
      <c r="C3" s="3" t="s">
        <v>74</v>
      </c>
    </row>
    <row r="4" customFormat="false" ht="15" hidden="false" customHeight="false" outlineLevel="0" collapsed="false">
      <c r="A4" s="3" t="s">
        <v>75</v>
      </c>
      <c r="B4" s="3" t="n">
        <f aca="false">MAX(Studies!$C$2:$C$131)</f>
        <v>2025</v>
      </c>
      <c r="C4" s="3" t="s">
        <v>74</v>
      </c>
    </row>
    <row r="5" customFormat="false" ht="15" hidden="false" customHeight="false" outlineLevel="0" collapsed="false">
      <c r="A5" s="3" t="s">
        <v>76</v>
      </c>
      <c r="B5" s="9" t="n">
        <f aca="false">IFERROR(COUNTIF(Studies!$F$2:$F$131,"Journal")/COUNTA(Studies!$D$2:$D$131),"")</f>
        <v>1</v>
      </c>
      <c r="C5" s="3" t="s">
        <v>77</v>
      </c>
    </row>
    <row r="6" customFormat="false" ht="15" hidden="false" customHeight="false" outlineLevel="0" collapsed="false">
      <c r="A6" s="3" t="s">
        <v>78</v>
      </c>
      <c r="B6" s="9" t="n">
        <f aca="false">IFERROR(COUNTIF(Studies!$F$2:$F$131,"Conference")/COUNTA(Studies!$D$2:$D$131),"")</f>
        <v>0</v>
      </c>
      <c r="C6" s="3" t="s">
        <v>77</v>
      </c>
    </row>
    <row r="7" customFormat="false" ht="15" hidden="false" customHeight="false" outlineLevel="0" collapsed="false">
      <c r="A7" s="3" t="s">
        <v>79</v>
      </c>
      <c r="B7" s="3" t="n">
        <f aca="false">COUNTIF(QA!$K$2:$K$131,"High")</f>
        <v>22</v>
      </c>
      <c r="C7" s="3" t="s">
        <v>77</v>
      </c>
    </row>
    <row r="8" customFormat="false" ht="15" hidden="false" customHeight="false" outlineLevel="0" collapsed="false">
      <c r="A8" s="3" t="s">
        <v>80</v>
      </c>
      <c r="B8" s="3" t="n">
        <f aca="false">COUNTIF(QA!$K$2:$K$131,"Medium")</f>
        <v>49</v>
      </c>
      <c r="C8" s="3" t="s">
        <v>77</v>
      </c>
    </row>
    <row r="9" customFormat="false" ht="15" hidden="false" customHeight="false" outlineLevel="0" collapsed="false">
      <c r="A9" s="3" t="s">
        <v>81</v>
      </c>
      <c r="B9" s="3" t="n">
        <f aca="false">COUNTIF(QA!$K$2:$K$131,"Low")</f>
        <v>59</v>
      </c>
      <c r="C9" s="3" t="s">
        <v>77</v>
      </c>
    </row>
    <row r="10" customFormat="false" ht="15" hidden="false" customHeight="false" outlineLevel="0" collapsed="false">
      <c r="A10" s="3" t="s">
        <v>82</v>
      </c>
      <c r="B10" s="3" t="n">
        <f aca="false">COUNTIF(Studies!$H$2:$H$131,"Y")</f>
        <v>81</v>
      </c>
      <c r="C10" s="3" t="s">
        <v>83</v>
      </c>
    </row>
    <row r="11" customFormat="false" ht="15" hidden="false" customHeight="false" outlineLevel="0" collapsed="false">
      <c r="A11" s="3" t="s">
        <v>84</v>
      </c>
      <c r="B11" s="9" t="n">
        <f aca="false">IFERROR(COUNTIF(Studies!$H$2:$H$131,"Y")/COUNTA(Studies!$D$2:$D$131),"")</f>
        <v>0.623076923076923</v>
      </c>
      <c r="C11" s="3" t="s">
        <v>83</v>
      </c>
    </row>
    <row r="12" customFormat="false" ht="15" hidden="false" customHeight="false" outlineLevel="0" collapsed="false">
      <c r="A12" s="3" t="s">
        <v>85</v>
      </c>
      <c r="B12" s="3" t="n">
        <f aca="false">COUNTIF(Studies!$I$2:$I$131,"Y")</f>
        <v>26</v>
      </c>
      <c r="C12" s="3" t="s">
        <v>83</v>
      </c>
    </row>
    <row r="13" customFormat="false" ht="15" hidden="false" customHeight="false" outlineLevel="0" collapsed="false">
      <c r="A13" s="3" t="s">
        <v>86</v>
      </c>
      <c r="B13" s="9" t="n">
        <f aca="false">IFERROR(COUNTIF(Studies!$I$2:$I$131,"Y")/COUNTA(Studies!$D$2:$D$131),"")</f>
        <v>0.2</v>
      </c>
      <c r="C13" s="3" t="s">
        <v>83</v>
      </c>
    </row>
    <row r="14" customFormat="false" ht="15" hidden="false" customHeight="false" outlineLevel="0" collapsed="false">
      <c r="A14" s="3" t="s">
        <v>87</v>
      </c>
      <c r="B14" s="3" t="n">
        <f aca="false">COUNTIF(Studies!$J$2:$J$131,"Y")</f>
        <v>99</v>
      </c>
      <c r="C14" s="3" t="s">
        <v>83</v>
      </c>
    </row>
    <row r="15" customFormat="false" ht="15" hidden="false" customHeight="false" outlineLevel="0" collapsed="false">
      <c r="A15" s="3" t="s">
        <v>88</v>
      </c>
      <c r="B15" s="9" t="n">
        <f aca="false">IFERROR(COUNTIF(Studies!$J$2:$J$131,"Y")/COUNTA(Studies!$D$2:$D$131),"")</f>
        <v>0.761538461538462</v>
      </c>
      <c r="C15" s="3" t="s">
        <v>83</v>
      </c>
    </row>
    <row r="16" customFormat="false" ht="15" hidden="false" customHeight="false" outlineLevel="0" collapsed="false">
      <c r="A16" s="3" t="s">
        <v>89</v>
      </c>
      <c r="B16" s="3" t="n">
        <f aca="false">COUNTIF(Studies!$K$2:$K$131,"Y")</f>
        <v>33</v>
      </c>
      <c r="C16" s="3" t="s">
        <v>83</v>
      </c>
    </row>
    <row r="17" customFormat="false" ht="15" hidden="false" customHeight="false" outlineLevel="0" collapsed="false">
      <c r="A17" s="3" t="s">
        <v>90</v>
      </c>
      <c r="B17" s="9" t="n">
        <f aca="false">IFERROR(COUNTIF(Studies!$K$2:$K$131,"Y")/COUNTA(Studies!$D$2:$D$131),"")</f>
        <v>0.253846153846154</v>
      </c>
      <c r="C17" s="3" t="s">
        <v>83</v>
      </c>
    </row>
    <row r="18" customFormat="false" ht="15" hidden="false" customHeight="false" outlineLevel="0" collapsed="false">
      <c r="A18" s="3" t="s">
        <v>91</v>
      </c>
      <c r="B18" s="3" t="n">
        <f aca="false">COUNTIF(Studies!$L$2:$L$131,"Y")</f>
        <v>39</v>
      </c>
      <c r="C18" s="3" t="s">
        <v>83</v>
      </c>
    </row>
    <row r="19" customFormat="false" ht="15" hidden="false" customHeight="false" outlineLevel="0" collapsed="false">
      <c r="A19" s="3" t="s">
        <v>92</v>
      </c>
      <c r="B19" s="9" t="n">
        <f aca="false">IFERROR(COUNTIF(Studies!$L$2:$L$131,"Y")/COUNTA(Studies!$D$2:$D$131),"")</f>
        <v>0.3</v>
      </c>
      <c r="C19" s="3" t="s">
        <v>83</v>
      </c>
    </row>
    <row r="20" customFormat="false" ht="15" hidden="false" customHeight="false" outlineLevel="0" collapsed="false">
      <c r="A20" s="3" t="s">
        <v>93</v>
      </c>
      <c r="B20" s="3" t="n">
        <f aca="false">COUNTIF(Studies!$M$2:$M$131,"Y")</f>
        <v>70</v>
      </c>
      <c r="C20" s="3" t="s">
        <v>83</v>
      </c>
    </row>
    <row r="21" customFormat="false" ht="15" hidden="false" customHeight="false" outlineLevel="0" collapsed="false">
      <c r="A21" s="3" t="s">
        <v>94</v>
      </c>
      <c r="B21" s="9" t="n">
        <f aca="false">IFERROR(COUNTIF(Studies!$M$2:$M$131,"Y")/COUNTA(Studies!$D$2:$D$131),"")</f>
        <v>0.538461538461538</v>
      </c>
      <c r="C21" s="3" t="s">
        <v>83</v>
      </c>
    </row>
    <row r="22" customFormat="false" ht="15" hidden="false" customHeight="false" outlineLevel="0" collapsed="false">
      <c r="A22" s="3" t="s">
        <v>95</v>
      </c>
      <c r="B22" s="9" t="n">
        <f aca="false" t="array" ref="B22:B22">IFERROR(MEDIAN(IF((Studies!$N$2:$N$131="Filter")*ISNUMBER(Studies!$Z$2:$Z$131),Studies!$Z$2:$Z$131)),"")</f>
        <v>0.403726708074534</v>
      </c>
      <c r="C22" s="3" t="s">
        <v>96</v>
      </c>
    </row>
    <row r="23" customFormat="false" ht="15" hidden="false" customHeight="false" outlineLevel="0" collapsed="false">
      <c r="A23" s="3" t="s">
        <v>97</v>
      </c>
      <c r="B23" s="3" t="n">
        <f aca="false">COUNTIFS(Studies!$N$2:$N$131,"Filter",Studies!$AG$2:$AG$131,"Y")</f>
        <v>5</v>
      </c>
      <c r="C23" s="3" t="s">
        <v>96</v>
      </c>
    </row>
    <row r="24" customFormat="false" ht="15" hidden="false" customHeight="false" outlineLevel="0" collapsed="false">
      <c r="A24" s="3" t="s">
        <v>98</v>
      </c>
      <c r="B24" s="3" t="n">
        <f aca="false">COUNTIFS(Studies!$N$2:$N$131,"Filter",Studies!$AK$2:$AK$131,"Y")</f>
        <v>12</v>
      </c>
      <c r="C24" s="3" t="s">
        <v>96</v>
      </c>
    </row>
    <row r="25" customFormat="false" ht="15" hidden="false" customHeight="false" outlineLevel="0" collapsed="false">
      <c r="A25" s="3" t="s">
        <v>99</v>
      </c>
      <c r="B25" s="3" t="n">
        <f aca="false">COUNTIFS(Studies!$N$2:$N$131,"Filter",Studies!$V$2:$V$131,"Y")</f>
        <v>0</v>
      </c>
      <c r="C25" s="3" t="s">
        <v>96</v>
      </c>
    </row>
    <row r="26" customFormat="false" ht="15" hidden="false" customHeight="false" outlineLevel="0" collapsed="false">
      <c r="A26" s="3" t="s">
        <v>100</v>
      </c>
      <c r="B26" s="9" t="n">
        <f aca="false" t="array" ref="B26:B26">IFERROR(MEDIAN(IF((Studies!$N$2:$N$131="Wrapper-meta")*ISNUMBER(Studies!$Z$2:$Z$131),Studies!$Z$2:$Z$131)),"")</f>
        <v>0.6875</v>
      </c>
      <c r="C26" s="3" t="s">
        <v>96</v>
      </c>
    </row>
    <row r="27" customFormat="false" ht="15" hidden="false" customHeight="false" outlineLevel="0" collapsed="false">
      <c r="A27" s="3" t="s">
        <v>101</v>
      </c>
      <c r="B27" s="3" t="n">
        <f aca="false">COUNTIFS(Studies!$N$2:$N$131,"Wrapper-meta",Studies!$AG$2:$AG$131,"Y")</f>
        <v>33</v>
      </c>
      <c r="C27" s="3" t="s">
        <v>96</v>
      </c>
    </row>
    <row r="28" customFormat="false" ht="15" hidden="false" customHeight="false" outlineLevel="0" collapsed="false">
      <c r="A28" s="3" t="s">
        <v>102</v>
      </c>
      <c r="B28" s="3" t="n">
        <f aca="false">COUNTIFS(Studies!$N$2:$N$131,"Wrapper-meta",Studies!$AK$2:$AK$131,"Y")</f>
        <v>24</v>
      </c>
      <c r="C28" s="3" t="s">
        <v>96</v>
      </c>
    </row>
    <row r="29" customFormat="false" ht="15" hidden="false" customHeight="false" outlineLevel="0" collapsed="false">
      <c r="A29" s="3" t="s">
        <v>103</v>
      </c>
      <c r="B29" s="3" t="n">
        <f aca="false">COUNTIFS(Studies!$N$2:$N$131,"Wrapper-meta",Studies!$V$2:$V$131,"Y")</f>
        <v>8</v>
      </c>
      <c r="C29" s="3" t="s">
        <v>96</v>
      </c>
    </row>
    <row r="30" customFormat="false" ht="15" hidden="false" customHeight="false" outlineLevel="0" collapsed="false">
      <c r="A30" s="3" t="s">
        <v>104</v>
      </c>
      <c r="B30" s="9" t="n">
        <f aca="false" t="array" ref="B30:B30">IFERROR(MEDIAN(IF((Studies!$N$2:$N$131="Embedded")*ISNUMBER(Studies!$Z$2:$Z$131),Studies!$Z$2:$Z$131)),"")</f>
        <v>0.711886304909561</v>
      </c>
      <c r="C30" s="3" t="s">
        <v>96</v>
      </c>
    </row>
    <row r="31" customFormat="false" ht="15" hidden="false" customHeight="false" outlineLevel="0" collapsed="false">
      <c r="A31" s="3" t="s">
        <v>105</v>
      </c>
      <c r="B31" s="3" t="n">
        <f aca="false">COUNTIFS(Studies!$N$2:$N$131,"Embedded",Studies!$AG$2:$AG$131,"Y")</f>
        <v>4</v>
      </c>
      <c r="C31" s="3" t="s">
        <v>96</v>
      </c>
    </row>
    <row r="32" customFormat="false" ht="15" hidden="false" customHeight="false" outlineLevel="0" collapsed="false">
      <c r="A32" s="3" t="s">
        <v>106</v>
      </c>
      <c r="B32" s="3" t="n">
        <f aca="false">COUNTIFS(Studies!$N$2:$N$131,"Embedded",Studies!$AK$2:$AK$131,"Y")</f>
        <v>10</v>
      </c>
      <c r="C32" s="3" t="s">
        <v>96</v>
      </c>
    </row>
    <row r="33" customFormat="false" ht="15" hidden="false" customHeight="false" outlineLevel="0" collapsed="false">
      <c r="A33" s="3" t="s">
        <v>107</v>
      </c>
      <c r="B33" s="3" t="n">
        <f aca="false">COUNTIFS(Studies!$N$2:$N$131,"Embedded",Studies!$V$2:$V$131,"Y")</f>
        <v>0</v>
      </c>
      <c r="C33" s="3" t="s">
        <v>96</v>
      </c>
    </row>
    <row r="34" customFormat="false" ht="15" hidden="false" customHeight="false" outlineLevel="0" collapsed="false">
      <c r="A34" s="3" t="s">
        <v>108</v>
      </c>
      <c r="B34" s="9" t="n">
        <f aca="false" t="array" ref="B34:B34">IFERROR(MEDIAN(IF((Studies!$N$2:$N$131="Hybrid")*ISNUMBER(Studies!$Z$2:$Z$131),Studies!$Z$2:$Z$131)),"")</f>
        <v>0.375</v>
      </c>
      <c r="C34" s="3" t="s">
        <v>96</v>
      </c>
    </row>
    <row r="35" customFormat="false" ht="15" hidden="false" customHeight="false" outlineLevel="0" collapsed="false">
      <c r="A35" s="3" t="s">
        <v>109</v>
      </c>
      <c r="B35" s="3" t="n">
        <f aca="false">COUNTIFS(Studies!$N$2:$N$131,"Hybrid",Studies!$AG$2:$AG$131,"Y")</f>
        <v>13</v>
      </c>
      <c r="C35" s="3" t="s">
        <v>96</v>
      </c>
    </row>
    <row r="36" customFormat="false" ht="15" hidden="false" customHeight="false" outlineLevel="0" collapsed="false">
      <c r="A36" s="3" t="s">
        <v>110</v>
      </c>
      <c r="B36" s="3" t="n">
        <f aca="false">COUNTIFS(Studies!$N$2:$N$131,"Hybrid",Studies!$AK$2:$AK$131,"Y")</f>
        <v>9</v>
      </c>
      <c r="C36" s="3" t="s">
        <v>96</v>
      </c>
    </row>
    <row r="37" customFormat="false" ht="15" hidden="false" customHeight="false" outlineLevel="0" collapsed="false">
      <c r="A37" s="3" t="s">
        <v>111</v>
      </c>
      <c r="B37" s="3" t="n">
        <f aca="false">COUNTIFS(Studies!$N$2:$N$131,"Hybrid",Studies!$V$2:$V$131,"Y")</f>
        <v>3</v>
      </c>
      <c r="C37" s="3" t="s">
        <v>96</v>
      </c>
    </row>
    <row r="38" customFormat="false" ht="15" hidden="false" customHeight="false" outlineLevel="0" collapsed="false">
      <c r="A38" s="3" t="s">
        <v>112</v>
      </c>
      <c r="B38" s="9" t="n">
        <f aca="false">IFERROR(MEDIAN(Studies!$Z$2:$Z$131),"")</f>
        <v>0.589285714285714</v>
      </c>
      <c r="C38" s="3" t="s">
        <v>113</v>
      </c>
    </row>
    <row r="39" customFormat="false" ht="15" hidden="false" customHeight="false" outlineLevel="0" collapsed="false">
      <c r="A39" s="3" t="s">
        <v>114</v>
      </c>
      <c r="B39" s="9" t="n">
        <f aca="false">IFERROR(QUARTILE(Studies!$Z$2:$Z$131,1),"")</f>
        <v>0.33404873996123</v>
      </c>
      <c r="C39" s="3" t="s">
        <v>113</v>
      </c>
    </row>
    <row r="40" customFormat="false" ht="15" hidden="false" customHeight="false" outlineLevel="0" collapsed="false">
      <c r="A40" s="3" t="s">
        <v>115</v>
      </c>
      <c r="B40" s="9" t="n">
        <f aca="false">IFERROR(QUARTILE(Studies!$Z$2:$Z$131,3),"")</f>
        <v>0.807317073170732</v>
      </c>
      <c r="C40" s="3" t="s">
        <v>113</v>
      </c>
    </row>
    <row r="41" customFormat="false" ht="15" hidden="false" customHeight="false" outlineLevel="0" collapsed="false">
      <c r="A41" s="3" t="s">
        <v>116</v>
      </c>
      <c r="B41" s="3" t="n">
        <f aca="false">COUNTIF(Studies!$AD$2:$AD$131,"Y")</f>
        <v>57</v>
      </c>
      <c r="C41" s="3" t="s">
        <v>113</v>
      </c>
    </row>
    <row r="42" customFormat="false" ht="15" hidden="false" customHeight="false" outlineLevel="0" collapsed="false">
      <c r="A42" s="3" t="s">
        <v>117</v>
      </c>
      <c r="B42" s="9" t="n">
        <f aca="false">IFERROR(COUNTIF(Studies!$AF$2:$AF$131,"Y")/COUNTIF(Studies!$AF$2:$AF$131,"?*"),"")</f>
        <v>0.504504504504505</v>
      </c>
      <c r="C42" s="3" t="s">
        <v>113</v>
      </c>
    </row>
    <row r="43" customFormat="false" ht="15" hidden="false" customHeight="false" outlineLevel="0" collapsed="false">
      <c r="A43" s="3" t="s">
        <v>118</v>
      </c>
      <c r="B43" s="9" t="n">
        <f aca="false">IFERROR(COUNTIF(Studies!$AG$2:$AG$131,"Y")/COUNTA(Studies!$D$2:$D$131),"")</f>
        <v>0.484615384615385</v>
      </c>
      <c r="C43" s="3" t="s">
        <v>113</v>
      </c>
    </row>
    <row r="44" customFormat="false" ht="15" hidden="false" customHeight="false" outlineLevel="0" collapsed="false">
      <c r="A44" s="3" t="s">
        <v>119</v>
      </c>
      <c r="B44" s="9" t="n">
        <f aca="false">IFERROR(COUNTIF(Studies!$AH$2:$AH$131,"Y")/COUNTA(Studies!$D$2:$D$131),"")</f>
        <v>0.353846153846154</v>
      </c>
      <c r="C44" s="3" t="s">
        <v>113</v>
      </c>
    </row>
    <row r="45" customFormat="false" ht="15" hidden="false" customHeight="false" outlineLevel="0" collapsed="false">
      <c r="A45" s="3" t="s">
        <v>120</v>
      </c>
      <c r="B45" s="3" t="n">
        <f aca="false">COUNTIF(Studies!$AK$2:$AK$131,"Y")</f>
        <v>65</v>
      </c>
      <c r="C45" s="3" t="s">
        <v>121</v>
      </c>
    </row>
    <row r="46" customFormat="false" ht="15" hidden="false" customHeight="false" outlineLevel="0" collapsed="false">
      <c r="A46" s="3" t="s">
        <v>122</v>
      </c>
      <c r="B46" s="3" t="n">
        <f aca="false">COUNTIF(Studies!$AL$2:$AL$131,"Y")</f>
        <v>24</v>
      </c>
      <c r="C46" s="3" t="s">
        <v>113</v>
      </c>
    </row>
    <row r="47" customFormat="false" ht="15" hidden="false" customHeight="false" outlineLevel="0" collapsed="false">
      <c r="A47" s="3" t="s">
        <v>123</v>
      </c>
      <c r="B47" s="3" t="n">
        <f aca="false">COUNTIF(Studies!$AM$2:$AM$131,"Y")</f>
        <v>8</v>
      </c>
      <c r="C47" s="3" t="s">
        <v>113</v>
      </c>
    </row>
    <row r="48" customFormat="false" ht="15" hidden="false" customHeight="false" outlineLevel="0" collapsed="false">
      <c r="A48" s="3" t="s">
        <v>124</v>
      </c>
      <c r="B48" s="3" t="n">
        <f aca="false">COUNTIF(Studies!$AN$2:$AN$131,"Y")</f>
        <v>2</v>
      </c>
      <c r="C48" s="3" t="s">
        <v>121</v>
      </c>
    </row>
    <row r="49" customFormat="false" ht="15" hidden="false" customHeight="false" outlineLevel="0" collapsed="false">
      <c r="A49" s="3" t="s">
        <v>125</v>
      </c>
      <c r="B49" s="9" t="n">
        <f aca="false">IFERROR(COUNTIF(Studies!$T$2:$T$131,1)/COUNTA(Studies!$D$2:$D$131),"")</f>
        <v>0.6</v>
      </c>
      <c r="C49" s="3" t="s">
        <v>126</v>
      </c>
    </row>
    <row r="50" customFormat="false" ht="15" hidden="false" customHeight="false" outlineLevel="0" collapsed="false">
      <c r="A50" s="3" t="s">
        <v>127</v>
      </c>
      <c r="B50" s="3" t="n">
        <f aca="false">COUNTIF(Studies!$V$2:$V$131,"Y")</f>
        <v>13</v>
      </c>
      <c r="C50" s="3" t="s">
        <v>128</v>
      </c>
    </row>
    <row r="51" customFormat="false" ht="15" hidden="false" customHeight="false" outlineLevel="0" collapsed="false">
      <c r="A51" s="3" t="s">
        <v>129</v>
      </c>
      <c r="B51" s="9" t="n">
        <f aca="false">IFERROR(COUNTIF(Studies!$R$2:$R$131,"Y")/COUNTA(Studies!$D$2:$D$131),"")</f>
        <v>0.776923076923077</v>
      </c>
      <c r="C51" s="3" t="s">
        <v>128</v>
      </c>
    </row>
    <row r="52" customFormat="false" ht="15" hidden="false" customHeight="false" outlineLevel="0" collapsed="false">
      <c r="A52" s="3" t="s">
        <v>130</v>
      </c>
      <c r="B52" s="9" t="n">
        <f aca="false">IFERROR(COUNTIF(Studies!$AA$2:$AA$131,"Single hold-out")/COUNTA(Studies!$D$2:$D$131),"")</f>
        <v>0.176923076923077</v>
      </c>
      <c r="C52" s="3" t="s">
        <v>128</v>
      </c>
    </row>
    <row r="53" customFormat="false" ht="15" hidden="false" customHeight="false" outlineLevel="0" collapsed="false">
      <c r="A53" s="3" t="s">
        <v>131</v>
      </c>
      <c r="B53" s="9" t="n">
        <f aca="false">IFERROR(COUNTIF(Studies!$AA$2:$AA$131,"k-fold CV")/COUNTA(Studies!$D$2:$D$131),"")</f>
        <v>0.384615384615385</v>
      </c>
      <c r="C53" s="3" t="s">
        <v>128</v>
      </c>
    </row>
    <row r="54" customFormat="false" ht="15" hidden="false" customHeight="false" outlineLevel="0" collapsed="false">
      <c r="A54" s="3" t="s">
        <v>132</v>
      </c>
      <c r="B54" s="9" t="n">
        <f aca="false">IFERROR(COUNTIF(Studies!$AB$2:$AB$131,"Y")/COUNTA(Studies!$D$2:$D$131),"")</f>
        <v>0.0307692307692308</v>
      </c>
      <c r="C54" s="3" t="s">
        <v>128</v>
      </c>
    </row>
    <row r="55" customFormat="false" ht="15" hidden="false" customHeight="false" outlineLevel="0" collapsed="false">
      <c r="A55" s="3" t="s">
        <v>133</v>
      </c>
      <c r="B55" s="3" t="n">
        <f aca="false">COUNTIF(Studies!$AO$2:$AO$131,"Y")</f>
        <v>10</v>
      </c>
      <c r="C55" s="3" t="s">
        <v>134</v>
      </c>
    </row>
    <row r="56" customFormat="false" ht="15" hidden="false" customHeight="false" outlineLevel="0" collapsed="false">
      <c r="A56" s="3" t="s">
        <v>135</v>
      </c>
      <c r="B56" s="3" t="n">
        <f aca="false">COUNTIF(Studies!$AP$2:$AP$131,"Y")</f>
        <v>2</v>
      </c>
      <c r="C56" s="3" t="s">
        <v>134</v>
      </c>
    </row>
    <row r="57" customFormat="false" ht="15" hidden="false" customHeight="false" outlineLevel="0" collapsed="false">
      <c r="A57" s="3" t="s">
        <v>136</v>
      </c>
      <c r="B57" s="3" t="n">
        <f aca="false">COUNTIF(Studies!$AQ$2:$AQ$131,"Y")</f>
        <v>17</v>
      </c>
      <c r="C57" s="3" t="s">
        <v>134</v>
      </c>
    </row>
    <row r="58" customFormat="false" ht="15" hidden="false" customHeight="false" outlineLevel="0" collapsed="false">
      <c r="A58" s="3" t="s">
        <v>137</v>
      </c>
      <c r="B58" s="3" t="n">
        <f aca="false">COUNTIF(Studies!$AR$2:$AR$131,"Y")</f>
        <v>3</v>
      </c>
      <c r="C58" s="3" t="s">
        <v>138</v>
      </c>
    </row>
    <row r="59" customFormat="false" ht="15" hidden="false" customHeight="false" outlineLevel="0" collapsed="false">
      <c r="A59" s="3" t="s">
        <v>139</v>
      </c>
      <c r="B59" s="9" t="n">
        <f aca="false">IFERROR(SUMPRODUCT((Studies!$N$2:$N$131="Hybrid")*ISNUMBER(QA!$B$2:$B$131)*(QA!$B$2:$B$131=0))/COUNTIF(Studies!$N$2:$N$131,"Hybrid"),"")</f>
        <v>0</v>
      </c>
      <c r="C59" s="3" t="s">
        <v>138</v>
      </c>
    </row>
    <row r="60" customFormat="false" ht="15" hidden="false" customHeight="false" outlineLevel="0" collapsed="false">
      <c r="A60" s="3" t="s">
        <v>140</v>
      </c>
      <c r="B60" s="9" t="n">
        <f aca="false">IFERROR(COUNTIF(QA!$B$2:$B$131,1)/COUNT(QA!$B$2:$B$131),"")</f>
        <v>0.584615384615385</v>
      </c>
      <c r="C60" s="3" t="s">
        <v>141</v>
      </c>
    </row>
    <row r="61" customFormat="false" ht="15" hidden="false" customHeight="false" outlineLevel="0" collapsed="false">
      <c r="A61" s="3" t="s">
        <v>142</v>
      </c>
      <c r="B61" s="9" t="n">
        <f aca="false">IFERROR(COUNTIF(QA!$C$2:$C$131,1)/COUNT(QA!$C$2:$C$131),"")</f>
        <v>0.0307692307692308</v>
      </c>
      <c r="C61" s="3" t="s">
        <v>141</v>
      </c>
    </row>
    <row r="62" customFormat="false" ht="15" hidden="false" customHeight="false" outlineLevel="0" collapsed="false">
      <c r="A62" s="3" t="s">
        <v>143</v>
      </c>
      <c r="B62" s="9" t="n">
        <f aca="false">IFERROR(COUNTIF(QA!$D$2:$D$131,1)/COUNT(QA!$D$2:$D$131),"")</f>
        <v>0.384615384615385</v>
      </c>
      <c r="C62" s="3" t="s">
        <v>141</v>
      </c>
    </row>
    <row r="63" customFormat="false" ht="15" hidden="false" customHeight="false" outlineLevel="0" collapsed="false">
      <c r="A63" s="3" t="s">
        <v>144</v>
      </c>
      <c r="B63" s="9" t="n">
        <f aca="false">IFERROR(COUNTIF(QA!$E$2:$E$131,1)/COUNT(QA!$E$2:$E$131),"")</f>
        <v>0.438461538461538</v>
      </c>
      <c r="C63" s="3" t="s">
        <v>141</v>
      </c>
    </row>
    <row r="64" customFormat="false" ht="15" hidden="false" customHeight="false" outlineLevel="0" collapsed="false">
      <c r="A64" s="3" t="s">
        <v>145</v>
      </c>
      <c r="B64" s="9" t="n">
        <f aca="false">IFERROR(COUNTIF(QA!$F$2:$F$131,1)/COUNT(QA!$F$2:$F$131),"")</f>
        <v>0.169230769230769</v>
      </c>
      <c r="C64" s="3" t="s">
        <v>141</v>
      </c>
    </row>
    <row r="65" customFormat="false" ht="15" hidden="false" customHeight="false" outlineLevel="0" collapsed="false">
      <c r="A65" s="3" t="s">
        <v>146</v>
      </c>
      <c r="B65" s="9" t="n">
        <f aca="false">IFERROR(COUNTIF(QA!$G$2:$G$131,1)/COUNT(QA!$G$2:$G$131),"")</f>
        <v>0.430769230769231</v>
      </c>
      <c r="C65" s="3" t="s">
        <v>141</v>
      </c>
    </row>
    <row r="66" customFormat="false" ht="15" hidden="false" customHeight="false" outlineLevel="0" collapsed="false">
      <c r="A66" s="3" t="s">
        <v>147</v>
      </c>
      <c r="B66" s="9" t="n">
        <f aca="false">IFERROR(COUNTIF(QA!$H$2:$H$131,1)/COUNT(QA!$H$2:$H$131),"")</f>
        <v>0.453846153846154</v>
      </c>
      <c r="C66" s="3" t="s">
        <v>141</v>
      </c>
    </row>
    <row r="67" customFormat="false" ht="15" hidden="false" customHeight="false" outlineLevel="0" collapsed="false">
      <c r="A67" s="3" t="s">
        <v>148</v>
      </c>
      <c r="B67" s="9" t="n">
        <f aca="false">IFERROR(COUNTIF(QA!$I$2:$I$131,1)/COUNT(QA!$I$2:$I$131),"")</f>
        <v>0.00769230769230769</v>
      </c>
      <c r="C67" s="3" t="s">
        <v>141</v>
      </c>
    </row>
    <row r="68" customFormat="false" ht="15" hidden="false" customHeight="false" outlineLevel="0" collapsed="false">
      <c r="A68" s="3" t="s">
        <v>149</v>
      </c>
      <c r="B68" s="3" t="n">
        <f aca="false">COUNTIF(Checklist!$B$2:$B$131,"Y")</f>
        <v>113</v>
      </c>
      <c r="C68" s="3" t="s">
        <v>150</v>
      </c>
    </row>
    <row r="69" customFormat="false" ht="15" hidden="false" customHeight="false" outlineLevel="0" collapsed="false">
      <c r="A69" s="3" t="s">
        <v>151</v>
      </c>
      <c r="B69" s="3" t="n">
        <f aca="false">COUNTIF(Checklist!$C$2:$C$131,"Y")</f>
        <v>77</v>
      </c>
      <c r="C69" s="3" t="s">
        <v>150</v>
      </c>
    </row>
    <row r="70" customFormat="false" ht="15" hidden="false" customHeight="false" outlineLevel="0" collapsed="false">
      <c r="A70" s="3" t="s">
        <v>152</v>
      </c>
      <c r="B70" s="3" t="n">
        <f aca="false">COUNTIF(Checklist!$D$2:$D$131,"Y")</f>
        <v>4</v>
      </c>
      <c r="C70" s="3" t="s">
        <v>150</v>
      </c>
    </row>
    <row r="71" customFormat="false" ht="15" hidden="false" customHeight="false" outlineLevel="0" collapsed="false">
      <c r="A71" s="3" t="s">
        <v>153</v>
      </c>
      <c r="B71" s="3" t="n">
        <f aca="false">COUNTIF(Checklist!$E$2:$E$131,"Y")</f>
        <v>76</v>
      </c>
      <c r="C71" s="3" t="s">
        <v>150</v>
      </c>
    </row>
    <row r="72" customFormat="false" ht="15" hidden="false" customHeight="false" outlineLevel="0" collapsed="false">
      <c r="A72" s="3" t="s">
        <v>154</v>
      </c>
      <c r="B72" s="3" t="n">
        <f aca="false">COUNTIF(Checklist!$F$2:$F$131,"Y")</f>
        <v>27</v>
      </c>
      <c r="C72" s="3" t="s">
        <v>150</v>
      </c>
    </row>
    <row r="73" customFormat="false" ht="15" hidden="false" customHeight="false" outlineLevel="0" collapsed="false">
      <c r="A73" s="3" t="s">
        <v>155</v>
      </c>
      <c r="B73" s="3" t="n">
        <f aca="false">COUNTIF(Checklist!$G$2:$G$131,"Y")</f>
        <v>16</v>
      </c>
      <c r="C73" s="3" t="s">
        <v>150</v>
      </c>
    </row>
    <row r="74" customFormat="false" ht="15" hidden="false" customHeight="false" outlineLevel="0" collapsed="false">
      <c r="A74" s="3" t="s">
        <v>156</v>
      </c>
      <c r="B74" s="3" t="n">
        <f aca="false">COUNTIF(Checklist!$H$2:$H$131,"Y")</f>
        <v>48</v>
      </c>
      <c r="C74" s="3" t="s">
        <v>150</v>
      </c>
    </row>
    <row r="75" customFormat="false" ht="15" hidden="false" customHeight="false" outlineLevel="0" collapsed="false">
      <c r="A75" s="3" t="s">
        <v>157</v>
      </c>
      <c r="B75" s="3" t="n">
        <f aca="false">COUNTIF(Checklist!$I$2:$I$131,"Y")</f>
        <v>22</v>
      </c>
      <c r="C75" s="3" t="s">
        <v>150</v>
      </c>
    </row>
    <row r="76" customFormat="false" ht="15" hidden="false" customHeight="false" outlineLevel="0" collapsed="false">
      <c r="A76" s="3" t="s">
        <v>158</v>
      </c>
      <c r="B76" s="3" t="n">
        <f aca="false">COUNTIF(Checklist!$J$2:$J$131,"Y")</f>
        <v>20</v>
      </c>
      <c r="C76" s="3" t="s">
        <v>150</v>
      </c>
    </row>
    <row r="77" customFormat="false" ht="15" hidden="false" customHeight="false" outlineLevel="0" collapsed="false">
      <c r="A77" s="3" t="s">
        <v>159</v>
      </c>
      <c r="B77" s="3" t="n">
        <f aca="false">COUNTIF(Checklist!$K$2:$K$131,"Y")</f>
        <v>59</v>
      </c>
      <c r="C77" s="3" t="s">
        <v>150</v>
      </c>
    </row>
    <row r="78" customFormat="false" ht="15" hidden="false" customHeight="false" outlineLevel="0" collapsed="false">
      <c r="A78" s="3" t="s">
        <v>160</v>
      </c>
      <c r="B78" s="3" t="n">
        <f aca="false">COUNTIF(Checklist!$L$2:$L$131,"Y")</f>
        <v>59</v>
      </c>
      <c r="C78" s="3" t="s">
        <v>150</v>
      </c>
    </row>
    <row r="79" customFormat="false" ht="15" hidden="false" customHeight="false" outlineLevel="0" collapsed="false">
      <c r="A79" s="3" t="s">
        <v>161</v>
      </c>
      <c r="B79" s="3" t="n">
        <f aca="false">COUNTIF(Checklist!$M$2:$M$131,"Y")</f>
        <v>1</v>
      </c>
      <c r="C79" s="3" t="s">
        <v>150</v>
      </c>
    </row>
    <row r="80" customFormat="false" ht="15" hidden="false" customHeight="false" outlineLevel="0" collapsed="false">
      <c r="A80" s="3" t="s">
        <v>162</v>
      </c>
      <c r="B80" s="3" t="n">
        <f aca="false">COUNTIF(DRL!$B$2:$B$131,"DRL-0")</f>
        <v>93</v>
      </c>
      <c r="C80" s="3" t="s">
        <v>163</v>
      </c>
    </row>
    <row r="81" customFormat="false" ht="15" hidden="false" customHeight="false" outlineLevel="0" collapsed="false">
      <c r="A81" s="3" t="s">
        <v>164</v>
      </c>
      <c r="B81" s="3" t="n">
        <f aca="false">COUNTIF(DRL!$B$2:$B$131,"DRL-1")</f>
        <v>18</v>
      </c>
      <c r="C81" s="3" t="s">
        <v>163</v>
      </c>
    </row>
    <row r="82" customFormat="false" ht="15" hidden="false" customHeight="false" outlineLevel="0" collapsed="false">
      <c r="A82" s="3" t="s">
        <v>165</v>
      </c>
      <c r="B82" s="3" t="n">
        <f aca="false">COUNTIF(DRL!$B$2:$B$131,"DRL-2")</f>
        <v>13</v>
      </c>
      <c r="C82" s="3" t="s">
        <v>163</v>
      </c>
    </row>
    <row r="83" customFormat="false" ht="15" hidden="false" customHeight="false" outlineLevel="0" collapsed="false">
      <c r="A83" s="3" t="s">
        <v>166</v>
      </c>
      <c r="B83" s="3" t="n">
        <f aca="false">COUNTIF(DRL!$B$2:$B$131,"DRL-3")</f>
        <v>6</v>
      </c>
      <c r="C83" s="3" t="s">
        <v>163</v>
      </c>
    </row>
    <row r="84" customFormat="false" ht="15" hidden="false" customHeight="false" outlineLevel="0" collapsed="false">
      <c r="A84" s="3" t="s">
        <v>167</v>
      </c>
      <c r="B84" s="3" t="n">
        <f aca="false">COUNTIF(DRL!$B$2:$B$131,"DRL-4")</f>
        <v>0</v>
      </c>
      <c r="C84" s="3" t="s">
        <v>163</v>
      </c>
    </row>
    <row r="85" customFormat="false" ht="15" hidden="false" customHeight="false" outlineLevel="0" collapsed="false">
      <c r="A85" s="3" t="s">
        <v>168</v>
      </c>
      <c r="B85" s="9" t="n">
        <f aca="false">IFERROR((COUNTIF(DRL!$B$2:$B$131,"DRL-0")+COUNTIF(DRL!$B$2:$B$131,"DRL-1"))/COUNTA(DRL!$B$2:$B$131),"")</f>
        <v>0.853846153846154</v>
      </c>
      <c r="C85" s="3" t="s">
        <v>169</v>
      </c>
    </row>
    <row r="86" customFormat="false" ht="15" hidden="false" customHeight="false" outlineLevel="0" collapsed="false">
      <c r="A86" s="3" t="s">
        <v>170</v>
      </c>
      <c r="B86" s="3" t="n">
        <f aca="false">COUNTIF(Studies!$S$2:$S$131,"*NSL-KDD*")</f>
        <v>34</v>
      </c>
      <c r="C86" s="3" t="s">
        <v>171</v>
      </c>
    </row>
    <row r="87" customFormat="false" ht="15" hidden="false" customHeight="false" outlineLevel="0" collapsed="false">
      <c r="A87" s="3" t="s">
        <v>172</v>
      </c>
      <c r="B87" s="3" t="n">
        <f aca="false">COUNTIF(Studies!$S$2:$S$131,"*UNSW-NB15*")</f>
        <v>33</v>
      </c>
      <c r="C87" s="3" t="s">
        <v>171</v>
      </c>
    </row>
    <row r="88" customFormat="false" ht="15" hidden="false" customHeight="false" outlineLevel="0" collapsed="false">
      <c r="A88" s="3" t="s">
        <v>173</v>
      </c>
      <c r="B88" s="3" t="n">
        <f aca="false">COUNTIF(Studies!$S$2:$S$131,"*CICIDS2017*")</f>
        <v>14</v>
      </c>
      <c r="C88" s="3" t="s">
        <v>171</v>
      </c>
    </row>
    <row r="89" customFormat="false" ht="15" hidden="false" customHeight="false" outlineLevel="0" collapsed="false">
      <c r="A89" s="3" t="s">
        <v>174</v>
      </c>
      <c r="B89" s="3" t="n">
        <f aca="false">COUNTIF(Studies!$S$2:$S$131,"*N-BaIoT*")</f>
        <v>3</v>
      </c>
      <c r="C89" s="3" t="s">
        <v>171</v>
      </c>
    </row>
    <row r="90" customFormat="false" ht="15" hidden="false" customHeight="false" outlineLevel="0" collapsed="false">
      <c r="A90" s="3" t="s">
        <v>175</v>
      </c>
      <c r="B90" s="3" t="n">
        <f aca="false">COUNTIF(Studies!$S$2:$S$131,"*Bot-IoT*")</f>
        <v>25</v>
      </c>
      <c r="C90" s="3" t="s">
        <v>171</v>
      </c>
    </row>
    <row r="91" customFormat="false" ht="15" hidden="false" customHeight="false" outlineLevel="0" collapsed="false">
      <c r="A91" s="3" t="s">
        <v>176</v>
      </c>
      <c r="B91" s="3" t="n">
        <f aca="false">COUNTIF(Studies!$S$2:$S$131,"*TON_IoT*")</f>
        <v>15</v>
      </c>
      <c r="C91" s="3" t="s">
        <v>171</v>
      </c>
    </row>
    <row r="92" customFormat="false" ht="15" hidden="false" customHeight="false" outlineLevel="0" collapsed="false">
      <c r="A92" s="3" t="s">
        <v>177</v>
      </c>
      <c r="B92" s="3" t="n">
        <f aca="false">COUNTIF(Studies!$S$2:$S$131,"*Edge-IIoTset*")</f>
        <v>6</v>
      </c>
      <c r="C92" s="3" t="s">
        <v>171</v>
      </c>
    </row>
    <row r="93" customFormat="false" ht="15" hidden="false" customHeight="false" outlineLevel="0" collapsed="false">
      <c r="A93" s="3" t="s">
        <v>178</v>
      </c>
      <c r="B93" s="3" t="n">
        <f aca="false">COUNTIF(Studies!$S$2:$S$131,"*CICIoT2023*")</f>
        <v>9</v>
      </c>
      <c r="C93" s="3" t="s">
        <v>171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U1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3" min="3" style="0" width="7"/>
    <col collapsed="false" customWidth="true" hidden="false" outlineLevel="0" max="4" min="4" style="0" width="40"/>
    <col collapsed="false" customWidth="true" hidden="false" outlineLevel="0" max="5" min="5" style="0" width="24"/>
    <col collapsed="false" customWidth="true" hidden="false" outlineLevel="0" max="6" min="6" style="0" width="12"/>
    <col collapsed="false" customWidth="true" hidden="false" outlineLevel="0" max="7" min="7" style="0" width="22"/>
    <col collapsed="false" customWidth="true" hidden="false" outlineLevel="0" max="13" min="8" style="0" width="10"/>
    <col collapsed="false" customWidth="true" hidden="false" outlineLevel="0" max="14" min="14" style="0" width="16"/>
    <col collapsed="false" customWidth="true" hidden="false" outlineLevel="0" max="15" min="15" style="0" width="24"/>
    <col collapsed="false" customWidth="true" hidden="false" outlineLevel="0" max="17" min="16" style="0" width="20"/>
    <col collapsed="false" customWidth="true" hidden="false" outlineLevel="0" max="18" min="18" style="0" width="10"/>
    <col collapsed="false" customWidth="true" hidden="false" outlineLevel="0" max="19" min="19" style="0" width="22"/>
    <col collapsed="false" customWidth="true" hidden="false" outlineLevel="0" max="20" min="20" style="0" width="9"/>
    <col collapsed="false" customWidth="true" hidden="false" outlineLevel="0" max="21" min="21" style="0" width="11"/>
    <col collapsed="false" customWidth="true" hidden="false" outlineLevel="0" max="22" min="22" style="0" width="10"/>
    <col collapsed="false" customWidth="true" hidden="false" outlineLevel="0" max="23" min="23" style="0" width="12"/>
    <col collapsed="false" customWidth="true" hidden="false" outlineLevel="0" max="26" min="24" style="0" width="10"/>
    <col collapsed="false" customWidth="true" hidden="false" outlineLevel="0" max="27" min="27" style="0" width="16"/>
    <col collapsed="false" customWidth="true" hidden="false" outlineLevel="0" max="28" min="28" style="0" width="12"/>
    <col collapsed="false" customWidth="true" hidden="false" outlineLevel="0" max="31" min="29" style="0" width="11"/>
    <col collapsed="false" customWidth="true" hidden="false" outlineLevel="0" max="32" min="32" style="0" width="9"/>
    <col collapsed="false" customWidth="true" hidden="false" outlineLevel="0" max="46" min="33" style="0" width="10"/>
    <col collapsed="false" customWidth="true" hidden="false" outlineLevel="0" max="47" min="47" style="0" width="40"/>
  </cols>
  <sheetData>
    <row r="1" customFormat="false" ht="45" hidden="false" customHeight="true" outlineLevel="0" collapsed="false">
      <c r="A1" s="8" t="s">
        <v>9</v>
      </c>
      <c r="B1" s="8" t="s">
        <v>10</v>
      </c>
      <c r="C1" s="8" t="s">
        <v>11</v>
      </c>
      <c r="D1" s="8" t="s">
        <v>12</v>
      </c>
      <c r="E1" s="8" t="s">
        <v>13</v>
      </c>
      <c r="F1" s="8" t="s">
        <v>14</v>
      </c>
      <c r="G1" s="8" t="s">
        <v>15</v>
      </c>
      <c r="H1" s="8" t="s">
        <v>179</v>
      </c>
      <c r="I1" s="8" t="s">
        <v>180</v>
      </c>
      <c r="J1" s="8" t="s">
        <v>181</v>
      </c>
      <c r="K1" s="8" t="s">
        <v>182</v>
      </c>
      <c r="L1" s="8" t="s">
        <v>183</v>
      </c>
      <c r="M1" s="8" t="s">
        <v>184</v>
      </c>
      <c r="N1" s="8" t="s">
        <v>22</v>
      </c>
      <c r="O1" s="8" t="s">
        <v>23</v>
      </c>
      <c r="P1" s="8" t="s">
        <v>24</v>
      </c>
      <c r="Q1" s="8" t="s">
        <v>25</v>
      </c>
      <c r="R1" s="8" t="s">
        <v>26</v>
      </c>
      <c r="S1" s="8" t="s">
        <v>27</v>
      </c>
      <c r="T1" s="8" t="s">
        <v>28</v>
      </c>
      <c r="U1" s="8" t="s">
        <v>29</v>
      </c>
      <c r="V1" s="8" t="s">
        <v>30</v>
      </c>
      <c r="W1" s="8" t="s">
        <v>31</v>
      </c>
      <c r="X1" s="8" t="s">
        <v>32</v>
      </c>
      <c r="Y1" s="8" t="s">
        <v>33</v>
      </c>
      <c r="Z1" s="8" t="s">
        <v>34</v>
      </c>
      <c r="AA1" s="8" t="s">
        <v>35</v>
      </c>
      <c r="AB1" s="8" t="s">
        <v>36</v>
      </c>
      <c r="AC1" s="8" t="s">
        <v>37</v>
      </c>
      <c r="AD1" s="8" t="s">
        <v>38</v>
      </c>
      <c r="AE1" s="8" t="s">
        <v>39</v>
      </c>
      <c r="AF1" s="8" t="s">
        <v>40</v>
      </c>
      <c r="AG1" s="8" t="s">
        <v>41</v>
      </c>
      <c r="AH1" s="8" t="s">
        <v>42</v>
      </c>
      <c r="AI1" s="8" t="s">
        <v>43</v>
      </c>
      <c r="AJ1" s="8" t="s">
        <v>44</v>
      </c>
      <c r="AK1" s="8" t="s">
        <v>45</v>
      </c>
      <c r="AL1" s="8" t="s">
        <v>46</v>
      </c>
      <c r="AM1" s="8" t="s">
        <v>47</v>
      </c>
      <c r="AN1" s="8" t="s">
        <v>48</v>
      </c>
      <c r="AO1" s="8" t="s">
        <v>49</v>
      </c>
      <c r="AP1" s="8" t="s">
        <v>50</v>
      </c>
      <c r="AQ1" s="8" t="s">
        <v>51</v>
      </c>
      <c r="AR1" s="8" t="s">
        <v>52</v>
      </c>
      <c r="AS1" s="8" t="s">
        <v>53</v>
      </c>
      <c r="AT1" s="8" t="s">
        <v>54</v>
      </c>
      <c r="AU1" s="8" t="s">
        <v>55</v>
      </c>
    </row>
    <row r="2" customFormat="false" ht="15" hidden="false" customHeight="false" outlineLevel="0" collapsed="false">
      <c r="A2" s="4" t="s">
        <v>185</v>
      </c>
      <c r="B2" s="10" t="s">
        <v>186</v>
      </c>
      <c r="C2" s="10" t="n">
        <v>2019</v>
      </c>
      <c r="D2" s="10" t="s">
        <v>187</v>
      </c>
      <c r="E2" s="10" t="s">
        <v>188</v>
      </c>
      <c r="F2" s="10" t="s">
        <v>60</v>
      </c>
      <c r="G2" s="10" t="s">
        <v>189</v>
      </c>
      <c r="H2" s="10" t="s">
        <v>61</v>
      </c>
      <c r="I2" s="10" t="s">
        <v>66</v>
      </c>
      <c r="J2" s="10" t="s">
        <v>61</v>
      </c>
      <c r="K2" s="10" t="s">
        <v>66</v>
      </c>
      <c r="L2" s="10" t="s">
        <v>66</v>
      </c>
      <c r="M2" s="10" t="s">
        <v>66</v>
      </c>
      <c r="N2" s="10" t="s">
        <v>19</v>
      </c>
      <c r="O2" s="10"/>
      <c r="P2" s="10"/>
      <c r="Q2" s="10" t="s">
        <v>190</v>
      </c>
      <c r="R2" s="10" t="s">
        <v>66</v>
      </c>
      <c r="S2" s="10" t="s">
        <v>191</v>
      </c>
      <c r="T2" s="10" t="n">
        <v>1</v>
      </c>
      <c r="U2" s="10" t="s">
        <v>66</v>
      </c>
      <c r="V2" s="10" t="s">
        <v>66</v>
      </c>
      <c r="W2" s="10"/>
      <c r="X2" s="10"/>
      <c r="Y2" s="10"/>
      <c r="Z2" s="11" t="str">
        <f aca="false">IF(AND(ISNUMBER(X2),ISNUMBER(Y2),X2&gt;0),1-Y2/X2,"")</f>
        <v/>
      </c>
      <c r="AA2" s="10" t="s">
        <v>192</v>
      </c>
      <c r="AB2" s="10" t="s">
        <v>193</v>
      </c>
      <c r="AC2" s="10" t="s">
        <v>66</v>
      </c>
      <c r="AD2" s="10" t="s">
        <v>66</v>
      </c>
      <c r="AE2" s="10"/>
      <c r="AF2" s="12" t="str">
        <f aca="false">IF(ISNUMBER(AE2),IF(AE2&gt;99,"Y","N"),"")</f>
        <v/>
      </c>
      <c r="AG2" s="10" t="s">
        <v>61</v>
      </c>
      <c r="AH2" s="10" t="s">
        <v>66</v>
      </c>
      <c r="AI2" s="10" t="s">
        <v>66</v>
      </c>
      <c r="AJ2" s="10" t="s">
        <v>66</v>
      </c>
      <c r="AK2" s="10" t="s">
        <v>66</v>
      </c>
      <c r="AL2" s="10" t="s">
        <v>66</v>
      </c>
      <c r="AM2" s="10" t="s">
        <v>66</v>
      </c>
      <c r="AN2" s="10" t="s">
        <v>66</v>
      </c>
      <c r="AO2" s="10" t="s">
        <v>66</v>
      </c>
      <c r="AP2" s="10" t="s">
        <v>66</v>
      </c>
      <c r="AQ2" s="10" t="s">
        <v>66</v>
      </c>
      <c r="AR2" s="10" t="s">
        <v>66</v>
      </c>
      <c r="AS2" s="10" t="s">
        <v>66</v>
      </c>
      <c r="AT2" s="10"/>
      <c r="AU2" s="10" t="s">
        <v>194</v>
      </c>
    </row>
    <row r="3" customFormat="false" ht="15" hidden="false" customHeight="false" outlineLevel="0" collapsed="false">
      <c r="A3" s="4" t="s">
        <v>195</v>
      </c>
      <c r="B3" s="10" t="s">
        <v>196</v>
      </c>
      <c r="C3" s="10" t="n">
        <v>2020</v>
      </c>
      <c r="D3" s="10" t="s">
        <v>197</v>
      </c>
      <c r="E3" s="10"/>
      <c r="F3" s="10" t="s">
        <v>60</v>
      </c>
      <c r="G3" s="10" t="s">
        <v>198</v>
      </c>
      <c r="H3" s="10" t="s">
        <v>66</v>
      </c>
      <c r="I3" s="10" t="s">
        <v>66</v>
      </c>
      <c r="J3" s="10" t="s">
        <v>61</v>
      </c>
      <c r="K3" s="10" t="s">
        <v>66</v>
      </c>
      <c r="L3" s="10" t="s">
        <v>61</v>
      </c>
      <c r="M3" s="10" t="s">
        <v>66</v>
      </c>
      <c r="N3" s="10" t="s">
        <v>20</v>
      </c>
      <c r="O3" s="10"/>
      <c r="P3" s="10"/>
      <c r="Q3" s="10" t="s">
        <v>199</v>
      </c>
      <c r="R3" s="10" t="s">
        <v>66</v>
      </c>
      <c r="S3" s="10" t="s">
        <v>200</v>
      </c>
      <c r="T3" s="10" t="n">
        <v>1</v>
      </c>
      <c r="U3" s="10" t="s">
        <v>61</v>
      </c>
      <c r="V3" s="10" t="s">
        <v>66</v>
      </c>
      <c r="W3" s="10" t="s">
        <v>201</v>
      </c>
      <c r="X3" s="10"/>
      <c r="Y3" s="10"/>
      <c r="Z3" s="11" t="str">
        <f aca="false">IF(AND(ISNUMBER(X3),ISNUMBER(Y3),X3&gt;0),1-Y3/X3,"")</f>
        <v/>
      </c>
      <c r="AA3" s="10" t="s">
        <v>202</v>
      </c>
      <c r="AB3" s="10" t="s">
        <v>193</v>
      </c>
      <c r="AC3" s="10" t="s">
        <v>66</v>
      </c>
      <c r="AD3" s="10" t="s">
        <v>66</v>
      </c>
      <c r="AE3" s="10"/>
      <c r="AF3" s="12" t="str">
        <f aca="false">IF(ISNUMBER(AE3),IF(AE3&gt;99,"Y","N"),"")</f>
        <v/>
      </c>
      <c r="AG3" s="10" t="s">
        <v>61</v>
      </c>
      <c r="AH3" s="10" t="s">
        <v>66</v>
      </c>
      <c r="AI3" s="10" t="s">
        <v>66</v>
      </c>
      <c r="AJ3" s="10" t="s">
        <v>61</v>
      </c>
      <c r="AK3" s="10" t="s">
        <v>61</v>
      </c>
      <c r="AL3" s="10" t="s">
        <v>66</v>
      </c>
      <c r="AM3" s="10" t="s">
        <v>66</v>
      </c>
      <c r="AN3" s="10" t="s">
        <v>66</v>
      </c>
      <c r="AO3" s="10" t="s">
        <v>66</v>
      </c>
      <c r="AP3" s="10" t="s">
        <v>66</v>
      </c>
      <c r="AQ3" s="10" t="s">
        <v>66</v>
      </c>
      <c r="AR3" s="10" t="s">
        <v>66</v>
      </c>
      <c r="AS3" s="10" t="s">
        <v>66</v>
      </c>
      <c r="AT3" s="10"/>
      <c r="AU3" s="10" t="s">
        <v>203</v>
      </c>
    </row>
    <row r="4" customFormat="false" ht="15" hidden="false" customHeight="false" outlineLevel="0" collapsed="false">
      <c r="A4" s="4" t="s">
        <v>204</v>
      </c>
      <c r="B4" s="10" t="s">
        <v>205</v>
      </c>
      <c r="C4" s="10" t="n">
        <v>2021</v>
      </c>
      <c r="D4" s="10" t="s">
        <v>206</v>
      </c>
      <c r="E4" s="10"/>
      <c r="F4" s="10" t="s">
        <v>60</v>
      </c>
      <c r="G4" s="10" t="s">
        <v>207</v>
      </c>
      <c r="H4" s="10" t="s">
        <v>61</v>
      </c>
      <c r="I4" s="10" t="s">
        <v>66</v>
      </c>
      <c r="J4" s="10" t="s">
        <v>61</v>
      </c>
      <c r="K4" s="10" t="s">
        <v>66</v>
      </c>
      <c r="L4" s="10" t="s">
        <v>61</v>
      </c>
      <c r="M4" s="10" t="s">
        <v>66</v>
      </c>
      <c r="N4" s="10" t="s">
        <v>208</v>
      </c>
      <c r="O4" s="10"/>
      <c r="P4" s="10"/>
      <c r="Q4" s="10" t="s">
        <v>209</v>
      </c>
      <c r="R4" s="10" t="s">
        <v>61</v>
      </c>
      <c r="S4" s="10" t="s">
        <v>210</v>
      </c>
      <c r="T4" s="10" t="n">
        <v>1</v>
      </c>
      <c r="U4" s="10" t="s">
        <v>61</v>
      </c>
      <c r="V4" s="10" t="s">
        <v>66</v>
      </c>
      <c r="W4" s="10"/>
      <c r="X4" s="10"/>
      <c r="Y4" s="10"/>
      <c r="Z4" s="11" t="str">
        <f aca="false">IF(AND(ISNUMBER(X4),ISNUMBER(Y4),X4&gt;0),1-Y4/X4,"")</f>
        <v/>
      </c>
      <c r="AA4" s="10" t="s">
        <v>202</v>
      </c>
      <c r="AB4" s="10" t="s">
        <v>193</v>
      </c>
      <c r="AC4" s="10" t="s">
        <v>66</v>
      </c>
      <c r="AD4" s="10" t="s">
        <v>61</v>
      </c>
      <c r="AE4" s="10" t="n">
        <v>96.4</v>
      </c>
      <c r="AF4" s="12" t="str">
        <f aca="false">IF(ISNUMBER(AE4),IF(AE4&gt;99,"Y","N"),"")</f>
        <v>N</v>
      </c>
      <c r="AG4" s="10" t="s">
        <v>61</v>
      </c>
      <c r="AH4" s="10" t="s">
        <v>61</v>
      </c>
      <c r="AI4" s="10" t="s">
        <v>66</v>
      </c>
      <c r="AJ4" s="10" t="s">
        <v>61</v>
      </c>
      <c r="AK4" s="10" t="s">
        <v>66</v>
      </c>
      <c r="AL4" s="10" t="s">
        <v>66</v>
      </c>
      <c r="AM4" s="10" t="s">
        <v>66</v>
      </c>
      <c r="AN4" s="10" t="s">
        <v>66</v>
      </c>
      <c r="AO4" s="10" t="s">
        <v>66</v>
      </c>
      <c r="AP4" s="10" t="s">
        <v>66</v>
      </c>
      <c r="AQ4" s="10" t="s">
        <v>66</v>
      </c>
      <c r="AR4" s="10" t="s">
        <v>66</v>
      </c>
      <c r="AS4" s="10" t="s">
        <v>66</v>
      </c>
      <c r="AT4" s="10"/>
      <c r="AU4" s="10" t="s">
        <v>211</v>
      </c>
    </row>
    <row r="5" customFormat="false" ht="15" hidden="false" customHeight="false" outlineLevel="0" collapsed="false">
      <c r="A5" s="4" t="s">
        <v>212</v>
      </c>
      <c r="B5" s="10" t="s">
        <v>213</v>
      </c>
      <c r="C5" s="10" t="n">
        <v>2021</v>
      </c>
      <c r="D5" s="10" t="s">
        <v>214</v>
      </c>
      <c r="E5" s="10" t="s">
        <v>215</v>
      </c>
      <c r="F5" s="10" t="s">
        <v>60</v>
      </c>
      <c r="G5" s="10" t="s">
        <v>216</v>
      </c>
      <c r="H5" s="10" t="s">
        <v>61</v>
      </c>
      <c r="I5" s="10" t="s">
        <v>66</v>
      </c>
      <c r="J5" s="10" t="s">
        <v>61</v>
      </c>
      <c r="K5" s="10" t="s">
        <v>66</v>
      </c>
      <c r="L5" s="10" t="s">
        <v>66</v>
      </c>
      <c r="M5" s="10" t="s">
        <v>66</v>
      </c>
      <c r="N5" s="10" t="s">
        <v>208</v>
      </c>
      <c r="O5" s="10"/>
      <c r="P5" s="10"/>
      <c r="Q5" s="10" t="s">
        <v>217</v>
      </c>
      <c r="R5" s="10" t="s">
        <v>61</v>
      </c>
      <c r="S5" s="10" t="s">
        <v>218</v>
      </c>
      <c r="T5" s="10" t="n">
        <v>1</v>
      </c>
      <c r="U5" s="10" t="s">
        <v>66</v>
      </c>
      <c r="V5" s="10" t="s">
        <v>66</v>
      </c>
      <c r="W5" s="10" t="s">
        <v>201</v>
      </c>
      <c r="X5" s="10"/>
      <c r="Y5" s="10"/>
      <c r="Z5" s="11" t="str">
        <f aca="false">IF(AND(ISNUMBER(X5),ISNUMBER(Y5),X5&gt;0),1-Y5/X5,"")</f>
        <v/>
      </c>
      <c r="AA5" s="10" t="s">
        <v>192</v>
      </c>
      <c r="AB5" s="10" t="s">
        <v>193</v>
      </c>
      <c r="AC5" s="10" t="s">
        <v>66</v>
      </c>
      <c r="AD5" s="10" t="s">
        <v>66</v>
      </c>
      <c r="AE5" s="10" t="n">
        <v>99.5</v>
      </c>
      <c r="AF5" s="12" t="str">
        <f aca="false">IF(ISNUMBER(AE5),IF(AE5&gt;99,"Y","N"),"")</f>
        <v>Y</v>
      </c>
      <c r="AG5" s="10" t="s">
        <v>61</v>
      </c>
      <c r="AH5" s="10" t="s">
        <v>66</v>
      </c>
      <c r="AI5" s="10" t="s">
        <v>66</v>
      </c>
      <c r="AJ5" s="10" t="s">
        <v>61</v>
      </c>
      <c r="AK5" s="10" t="s">
        <v>66</v>
      </c>
      <c r="AL5" s="10" t="s">
        <v>66</v>
      </c>
      <c r="AM5" s="10" t="s">
        <v>66</v>
      </c>
      <c r="AN5" s="10" t="s">
        <v>66</v>
      </c>
      <c r="AO5" s="10" t="s">
        <v>66</v>
      </c>
      <c r="AP5" s="10" t="s">
        <v>66</v>
      </c>
      <c r="AQ5" s="10" t="s">
        <v>66</v>
      </c>
      <c r="AR5" s="10" t="s">
        <v>66</v>
      </c>
      <c r="AS5" s="10" t="s">
        <v>66</v>
      </c>
      <c r="AT5" s="10"/>
      <c r="AU5" s="10" t="s">
        <v>219</v>
      </c>
    </row>
    <row r="6" customFormat="false" ht="15" hidden="false" customHeight="false" outlineLevel="0" collapsed="false">
      <c r="A6" s="4" t="s">
        <v>220</v>
      </c>
      <c r="B6" s="10" t="s">
        <v>221</v>
      </c>
      <c r="C6" s="10" t="n">
        <v>2021</v>
      </c>
      <c r="D6" s="10" t="s">
        <v>222</v>
      </c>
      <c r="E6" s="10" t="s">
        <v>223</v>
      </c>
      <c r="F6" s="10" t="s">
        <v>60</v>
      </c>
      <c r="G6" s="10" t="s">
        <v>224</v>
      </c>
      <c r="H6" s="10" t="s">
        <v>61</v>
      </c>
      <c r="I6" s="10" t="s">
        <v>66</v>
      </c>
      <c r="J6" s="10" t="s">
        <v>61</v>
      </c>
      <c r="K6" s="10" t="s">
        <v>66</v>
      </c>
      <c r="L6" s="10" t="s">
        <v>66</v>
      </c>
      <c r="M6" s="10" t="s">
        <v>61</v>
      </c>
      <c r="N6" s="10" t="s">
        <v>20</v>
      </c>
      <c r="O6" s="10"/>
      <c r="P6" s="10"/>
      <c r="Q6" s="10" t="s">
        <v>225</v>
      </c>
      <c r="R6" s="10" t="s">
        <v>66</v>
      </c>
      <c r="S6" s="10" t="s">
        <v>210</v>
      </c>
      <c r="T6" s="10" t="n">
        <v>1</v>
      </c>
      <c r="U6" s="10" t="s">
        <v>61</v>
      </c>
      <c r="V6" s="10" t="s">
        <v>66</v>
      </c>
      <c r="W6" s="10"/>
      <c r="X6" s="10"/>
      <c r="Y6" s="10"/>
      <c r="Z6" s="11" t="str">
        <f aca="false">IF(AND(ISNUMBER(X6),ISNUMBER(Y6),X6&gt;0),1-Y6/X6,"")</f>
        <v/>
      </c>
      <c r="AA6" s="10" t="s">
        <v>192</v>
      </c>
      <c r="AB6" s="10" t="s">
        <v>193</v>
      </c>
      <c r="AC6" s="10" t="s">
        <v>66</v>
      </c>
      <c r="AD6" s="10" t="s">
        <v>66</v>
      </c>
      <c r="AE6" s="10" t="n">
        <v>99.7</v>
      </c>
      <c r="AF6" s="12" t="str">
        <f aca="false">IF(ISNUMBER(AE6),IF(AE6&gt;99,"Y","N"),"")</f>
        <v>Y</v>
      </c>
      <c r="AG6" s="10" t="s">
        <v>61</v>
      </c>
      <c r="AH6" s="10" t="s">
        <v>61</v>
      </c>
      <c r="AI6" s="10" t="s">
        <v>66</v>
      </c>
      <c r="AJ6" s="10" t="s">
        <v>61</v>
      </c>
      <c r="AK6" s="10" t="s">
        <v>66</v>
      </c>
      <c r="AL6" s="10" t="s">
        <v>66</v>
      </c>
      <c r="AM6" s="10" t="s">
        <v>66</v>
      </c>
      <c r="AN6" s="10" t="s">
        <v>66</v>
      </c>
      <c r="AO6" s="10" t="s">
        <v>66</v>
      </c>
      <c r="AP6" s="10" t="s">
        <v>66</v>
      </c>
      <c r="AQ6" s="10" t="s">
        <v>66</v>
      </c>
      <c r="AR6" s="10" t="s">
        <v>66</v>
      </c>
      <c r="AS6" s="10" t="s">
        <v>66</v>
      </c>
      <c r="AT6" s="10"/>
      <c r="AU6" s="10" t="s">
        <v>226</v>
      </c>
    </row>
    <row r="7" customFormat="false" ht="15" hidden="false" customHeight="false" outlineLevel="0" collapsed="false">
      <c r="A7" s="4" t="s">
        <v>227</v>
      </c>
      <c r="B7" s="10" t="s">
        <v>228</v>
      </c>
      <c r="C7" s="10" t="n">
        <v>2021</v>
      </c>
      <c r="D7" s="10" t="s">
        <v>229</v>
      </c>
      <c r="E7" s="10" t="s">
        <v>230</v>
      </c>
      <c r="F7" s="10" t="s">
        <v>60</v>
      </c>
      <c r="G7" s="10" t="s">
        <v>231</v>
      </c>
      <c r="H7" s="10" t="s">
        <v>61</v>
      </c>
      <c r="I7" s="10" t="s">
        <v>66</v>
      </c>
      <c r="J7" s="10" t="s">
        <v>66</v>
      </c>
      <c r="K7" s="10" t="s">
        <v>61</v>
      </c>
      <c r="L7" s="10" t="s">
        <v>61</v>
      </c>
      <c r="M7" s="10" t="s">
        <v>66</v>
      </c>
      <c r="N7" s="10" t="s">
        <v>16</v>
      </c>
      <c r="O7" s="10"/>
      <c r="P7" s="10"/>
      <c r="Q7" s="10" t="s">
        <v>232</v>
      </c>
      <c r="R7" s="10" t="s">
        <v>61</v>
      </c>
      <c r="S7" s="10" t="s">
        <v>233</v>
      </c>
      <c r="T7" s="10" t="n">
        <v>2</v>
      </c>
      <c r="U7" s="10" t="s">
        <v>66</v>
      </c>
      <c r="V7" s="10" t="s">
        <v>66</v>
      </c>
      <c r="W7" s="10"/>
      <c r="X7" s="10" t="n">
        <v>119</v>
      </c>
      <c r="Y7" s="10" t="n">
        <v>115</v>
      </c>
      <c r="Z7" s="11" t="n">
        <f aca="false">IF(AND(ISNUMBER(X7),ISNUMBER(Y7),X7&gt;0),1-Y7/X7,"")</f>
        <v>0.0336134453781513</v>
      </c>
      <c r="AA7" s="10" t="s">
        <v>192</v>
      </c>
      <c r="AB7" s="10" t="s">
        <v>193</v>
      </c>
      <c r="AC7" s="10" t="s">
        <v>66</v>
      </c>
      <c r="AD7" s="10" t="s">
        <v>66</v>
      </c>
      <c r="AE7" s="10" t="n">
        <v>99.99</v>
      </c>
      <c r="AF7" s="12" t="str">
        <f aca="false">IF(ISNUMBER(AE7),IF(AE7&gt;99,"Y","N"),"")</f>
        <v>Y</v>
      </c>
      <c r="AG7" s="10" t="s">
        <v>66</v>
      </c>
      <c r="AH7" s="10" t="s">
        <v>66</v>
      </c>
      <c r="AI7" s="10" t="s">
        <v>61</v>
      </c>
      <c r="AJ7" s="10" t="s">
        <v>61</v>
      </c>
      <c r="AK7" s="10" t="s">
        <v>61</v>
      </c>
      <c r="AL7" s="10" t="s">
        <v>66</v>
      </c>
      <c r="AM7" s="10" t="s">
        <v>66</v>
      </c>
      <c r="AN7" s="10" t="s">
        <v>66</v>
      </c>
      <c r="AO7" s="10" t="s">
        <v>66</v>
      </c>
      <c r="AP7" s="10" t="s">
        <v>66</v>
      </c>
      <c r="AQ7" s="10" t="s">
        <v>66</v>
      </c>
      <c r="AR7" s="10" t="s">
        <v>66</v>
      </c>
      <c r="AS7" s="10" t="s">
        <v>66</v>
      </c>
      <c r="AT7" s="10"/>
      <c r="AU7" s="10" t="s">
        <v>234</v>
      </c>
    </row>
    <row r="8" customFormat="false" ht="15" hidden="false" customHeight="false" outlineLevel="0" collapsed="false">
      <c r="A8" s="4" t="s">
        <v>235</v>
      </c>
      <c r="B8" s="10" t="s">
        <v>236</v>
      </c>
      <c r="C8" s="10" t="n">
        <v>2021</v>
      </c>
      <c r="D8" s="10" t="s">
        <v>237</v>
      </c>
      <c r="E8" s="10" t="s">
        <v>238</v>
      </c>
      <c r="F8" s="10" t="s">
        <v>60</v>
      </c>
      <c r="G8" s="10" t="s">
        <v>239</v>
      </c>
      <c r="H8" s="10" t="s">
        <v>66</v>
      </c>
      <c r="I8" s="10" t="s">
        <v>66</v>
      </c>
      <c r="J8" s="10" t="s">
        <v>66</v>
      </c>
      <c r="K8" s="10" t="s">
        <v>61</v>
      </c>
      <c r="L8" s="10" t="s">
        <v>66</v>
      </c>
      <c r="M8" s="10" t="s">
        <v>61</v>
      </c>
      <c r="N8" s="10" t="s">
        <v>19</v>
      </c>
      <c r="O8" s="10"/>
      <c r="P8" s="10"/>
      <c r="Q8" s="10" t="s">
        <v>240</v>
      </c>
      <c r="R8" s="10" t="s">
        <v>61</v>
      </c>
      <c r="S8" s="10" t="s">
        <v>210</v>
      </c>
      <c r="T8" s="10" t="n">
        <v>1</v>
      </c>
      <c r="U8" s="10" t="s">
        <v>61</v>
      </c>
      <c r="V8" s="10" t="s">
        <v>66</v>
      </c>
      <c r="W8" s="10" t="s">
        <v>241</v>
      </c>
      <c r="X8" s="10"/>
      <c r="Y8" s="10" t="n">
        <v>10</v>
      </c>
      <c r="Z8" s="11" t="str">
        <f aca="false">IF(AND(ISNUMBER(X8),ISNUMBER(Y8),X8&gt;0),1-Y8/X8,"")</f>
        <v/>
      </c>
      <c r="AA8" s="10" t="s">
        <v>202</v>
      </c>
      <c r="AB8" s="10" t="s">
        <v>193</v>
      </c>
      <c r="AC8" s="10" t="s">
        <v>66</v>
      </c>
      <c r="AD8" s="10" t="s">
        <v>61</v>
      </c>
      <c r="AE8" s="10" t="n">
        <v>99</v>
      </c>
      <c r="AF8" s="12" t="str">
        <f aca="false">IF(ISNUMBER(AE8),IF(AE8&gt;99,"Y","N"),"")</f>
        <v>N</v>
      </c>
      <c r="AG8" s="10" t="s">
        <v>66</v>
      </c>
      <c r="AH8" s="10" t="s">
        <v>66</v>
      </c>
      <c r="AI8" s="10" t="s">
        <v>66</v>
      </c>
      <c r="AJ8" s="10" t="s">
        <v>61</v>
      </c>
      <c r="AK8" s="10" t="s">
        <v>61</v>
      </c>
      <c r="AL8" s="10" t="s">
        <v>66</v>
      </c>
      <c r="AM8" s="10" t="s">
        <v>66</v>
      </c>
      <c r="AN8" s="10" t="s">
        <v>66</v>
      </c>
      <c r="AO8" s="10" t="s">
        <v>66</v>
      </c>
      <c r="AP8" s="10" t="s">
        <v>66</v>
      </c>
      <c r="AQ8" s="10" t="s">
        <v>66</v>
      </c>
      <c r="AR8" s="10" t="s">
        <v>66</v>
      </c>
      <c r="AS8" s="10" t="s">
        <v>66</v>
      </c>
      <c r="AT8" s="10"/>
      <c r="AU8" s="10" t="s">
        <v>242</v>
      </c>
    </row>
    <row r="9" customFormat="false" ht="15" hidden="false" customHeight="false" outlineLevel="0" collapsed="false">
      <c r="A9" s="4" t="s">
        <v>243</v>
      </c>
      <c r="B9" s="10" t="s">
        <v>244</v>
      </c>
      <c r="C9" s="10" t="n">
        <v>2021</v>
      </c>
      <c r="D9" s="10" t="s">
        <v>245</v>
      </c>
      <c r="E9" s="10" t="s">
        <v>246</v>
      </c>
      <c r="F9" s="10" t="s">
        <v>60</v>
      </c>
      <c r="G9" s="10" t="s">
        <v>247</v>
      </c>
      <c r="H9" s="10" t="s">
        <v>61</v>
      </c>
      <c r="I9" s="10" t="s">
        <v>61</v>
      </c>
      <c r="J9" s="10" t="s">
        <v>61</v>
      </c>
      <c r="K9" s="10" t="s">
        <v>66</v>
      </c>
      <c r="L9" s="10" t="s">
        <v>61</v>
      </c>
      <c r="M9" s="10" t="s">
        <v>61</v>
      </c>
      <c r="N9" s="10" t="s">
        <v>20</v>
      </c>
      <c r="O9" s="10"/>
      <c r="P9" s="10"/>
      <c r="Q9" s="10" t="s">
        <v>248</v>
      </c>
      <c r="R9" s="10" t="s">
        <v>66</v>
      </c>
      <c r="S9" s="10" t="s">
        <v>249</v>
      </c>
      <c r="T9" s="10" t="n">
        <v>1</v>
      </c>
      <c r="U9" s="10" t="s">
        <v>61</v>
      </c>
      <c r="V9" s="10" t="s">
        <v>66</v>
      </c>
      <c r="W9" s="10" t="s">
        <v>65</v>
      </c>
      <c r="X9" s="10"/>
      <c r="Y9" s="10"/>
      <c r="Z9" s="11" t="str">
        <f aca="false">IF(AND(ISNUMBER(X9),ISNUMBER(Y9),X9&gt;0),1-Y9/X9,"")</f>
        <v/>
      </c>
      <c r="AA9" s="10" t="s">
        <v>202</v>
      </c>
      <c r="AB9" s="10" t="s">
        <v>193</v>
      </c>
      <c r="AC9" s="10" t="s">
        <v>66</v>
      </c>
      <c r="AD9" s="10" t="s">
        <v>66</v>
      </c>
      <c r="AE9" s="10" t="n">
        <v>99.87</v>
      </c>
      <c r="AF9" s="12" t="str">
        <f aca="false">IF(ISNUMBER(AE9),IF(AE9&gt;99,"Y","N"),"")</f>
        <v>Y</v>
      </c>
      <c r="AG9" s="10" t="s">
        <v>61</v>
      </c>
      <c r="AH9" s="10" t="s">
        <v>66</v>
      </c>
      <c r="AI9" s="10" t="s">
        <v>66</v>
      </c>
      <c r="AJ9" s="10" t="s">
        <v>61</v>
      </c>
      <c r="AK9" s="10" t="s">
        <v>66</v>
      </c>
      <c r="AL9" s="10" t="s">
        <v>61</v>
      </c>
      <c r="AM9" s="10" t="s">
        <v>66</v>
      </c>
      <c r="AN9" s="10" t="s">
        <v>66</v>
      </c>
      <c r="AO9" s="10" t="s">
        <v>66</v>
      </c>
      <c r="AP9" s="10" t="s">
        <v>66</v>
      </c>
      <c r="AQ9" s="10" t="s">
        <v>66</v>
      </c>
      <c r="AR9" s="10" t="s">
        <v>66</v>
      </c>
      <c r="AS9" s="10" t="s">
        <v>66</v>
      </c>
      <c r="AT9" s="10"/>
      <c r="AU9" s="10" t="s">
        <v>250</v>
      </c>
    </row>
    <row r="10" customFormat="false" ht="15" hidden="false" customHeight="false" outlineLevel="0" collapsed="false">
      <c r="A10" s="4" t="s">
        <v>251</v>
      </c>
      <c r="B10" s="10" t="s">
        <v>252</v>
      </c>
      <c r="C10" s="10" t="n">
        <v>2021</v>
      </c>
      <c r="D10" s="10" t="s">
        <v>253</v>
      </c>
      <c r="E10" s="10" t="s">
        <v>254</v>
      </c>
      <c r="F10" s="10" t="s">
        <v>60</v>
      </c>
      <c r="G10" s="10" t="s">
        <v>255</v>
      </c>
      <c r="H10" s="10" t="s">
        <v>61</v>
      </c>
      <c r="I10" s="10" t="s">
        <v>66</v>
      </c>
      <c r="J10" s="10" t="s">
        <v>61</v>
      </c>
      <c r="K10" s="10" t="s">
        <v>66</v>
      </c>
      <c r="L10" s="10" t="s">
        <v>61</v>
      </c>
      <c r="M10" s="10" t="s">
        <v>61</v>
      </c>
      <c r="N10" s="10" t="s">
        <v>20</v>
      </c>
      <c r="O10" s="10"/>
      <c r="P10" s="10"/>
      <c r="Q10" s="10" t="s">
        <v>256</v>
      </c>
      <c r="R10" s="10" t="s">
        <v>61</v>
      </c>
      <c r="S10" s="10" t="s">
        <v>257</v>
      </c>
      <c r="T10" s="10" t="n">
        <v>2</v>
      </c>
      <c r="U10" s="10" t="s">
        <v>61</v>
      </c>
      <c r="V10" s="10" t="s">
        <v>66</v>
      </c>
      <c r="W10" s="10" t="s">
        <v>65</v>
      </c>
      <c r="X10" s="10"/>
      <c r="Y10" s="10"/>
      <c r="Z10" s="11" t="str">
        <f aca="false">IF(AND(ISNUMBER(X10),ISNUMBER(Y10),X10&gt;0),1-Y10/X10,"")</f>
        <v/>
      </c>
      <c r="AA10" s="10" t="s">
        <v>202</v>
      </c>
      <c r="AB10" s="10" t="s">
        <v>193</v>
      </c>
      <c r="AC10" s="10" t="s">
        <v>66</v>
      </c>
      <c r="AD10" s="10" t="s">
        <v>61</v>
      </c>
      <c r="AE10" s="10" t="n">
        <v>95</v>
      </c>
      <c r="AF10" s="12" t="str">
        <f aca="false">IF(ISNUMBER(AE10),IF(AE10&gt;99,"Y","N"),"")</f>
        <v>N</v>
      </c>
      <c r="AG10" s="10" t="s">
        <v>61</v>
      </c>
      <c r="AH10" s="10" t="s">
        <v>61</v>
      </c>
      <c r="AI10" s="10" t="s">
        <v>66</v>
      </c>
      <c r="AJ10" s="10" t="s">
        <v>61</v>
      </c>
      <c r="AK10" s="10" t="s">
        <v>61</v>
      </c>
      <c r="AL10" s="10" t="s">
        <v>66</v>
      </c>
      <c r="AM10" s="10" t="s">
        <v>66</v>
      </c>
      <c r="AN10" s="10" t="s">
        <v>66</v>
      </c>
      <c r="AO10" s="10" t="s">
        <v>66</v>
      </c>
      <c r="AP10" s="10" t="s">
        <v>66</v>
      </c>
      <c r="AQ10" s="10" t="s">
        <v>66</v>
      </c>
      <c r="AR10" s="10" t="s">
        <v>66</v>
      </c>
      <c r="AS10" s="10" t="s">
        <v>66</v>
      </c>
      <c r="AT10" s="10"/>
      <c r="AU10" s="10" t="s">
        <v>258</v>
      </c>
    </row>
    <row r="11" customFormat="false" ht="15" hidden="false" customHeight="false" outlineLevel="0" collapsed="false">
      <c r="A11" s="4" t="s">
        <v>259</v>
      </c>
      <c r="B11" s="10" t="s">
        <v>260</v>
      </c>
      <c r="C11" s="10" t="n">
        <v>2021</v>
      </c>
      <c r="D11" s="10" t="s">
        <v>261</v>
      </c>
      <c r="E11" s="10" t="s">
        <v>262</v>
      </c>
      <c r="F11" s="10" t="s">
        <v>60</v>
      </c>
      <c r="G11" s="10" t="s">
        <v>263</v>
      </c>
      <c r="H11" s="10" t="s">
        <v>66</v>
      </c>
      <c r="I11" s="10" t="s">
        <v>66</v>
      </c>
      <c r="J11" s="10" t="s">
        <v>61</v>
      </c>
      <c r="K11" s="10" t="s">
        <v>61</v>
      </c>
      <c r="L11" s="10" t="s">
        <v>66</v>
      </c>
      <c r="M11" s="10" t="s">
        <v>61</v>
      </c>
      <c r="N11" s="10" t="s">
        <v>19</v>
      </c>
      <c r="O11" s="10"/>
      <c r="P11" s="10"/>
      <c r="Q11" s="10" t="s">
        <v>264</v>
      </c>
      <c r="R11" s="10" t="s">
        <v>61</v>
      </c>
      <c r="S11" s="10" t="s">
        <v>265</v>
      </c>
      <c r="T11" s="10" t="n">
        <v>2</v>
      </c>
      <c r="U11" s="10" t="s">
        <v>66</v>
      </c>
      <c r="V11" s="10" t="s">
        <v>66</v>
      </c>
      <c r="W11" s="10" t="s">
        <v>65</v>
      </c>
      <c r="X11" s="10"/>
      <c r="Y11" s="10"/>
      <c r="Z11" s="11" t="str">
        <f aca="false">IF(AND(ISNUMBER(X11),ISNUMBER(Y11),X11&gt;0),1-Y11/X11,"")</f>
        <v/>
      </c>
      <c r="AA11" s="10" t="s">
        <v>192</v>
      </c>
      <c r="AB11" s="10" t="s">
        <v>193</v>
      </c>
      <c r="AC11" s="10" t="s">
        <v>66</v>
      </c>
      <c r="AD11" s="10" t="s">
        <v>66</v>
      </c>
      <c r="AE11" s="10" t="n">
        <v>68.11</v>
      </c>
      <c r="AF11" s="12" t="str">
        <f aca="false">IF(ISNUMBER(AE11),IF(AE11&gt;99,"Y","N"),"")</f>
        <v>N</v>
      </c>
      <c r="AG11" s="10" t="s">
        <v>66</v>
      </c>
      <c r="AH11" s="10" t="s">
        <v>66</v>
      </c>
      <c r="AI11" s="10" t="s">
        <v>66</v>
      </c>
      <c r="AJ11" s="10" t="s">
        <v>66</v>
      </c>
      <c r="AK11" s="10" t="s">
        <v>61</v>
      </c>
      <c r="AL11" s="10" t="s">
        <v>66</v>
      </c>
      <c r="AM11" s="10" t="s">
        <v>66</v>
      </c>
      <c r="AN11" s="10" t="s">
        <v>66</v>
      </c>
      <c r="AO11" s="10" t="s">
        <v>66</v>
      </c>
      <c r="AP11" s="10" t="s">
        <v>66</v>
      </c>
      <c r="AQ11" s="10" t="s">
        <v>66</v>
      </c>
      <c r="AR11" s="10" t="s">
        <v>66</v>
      </c>
      <c r="AS11" s="10" t="s">
        <v>66</v>
      </c>
      <c r="AT11" s="10"/>
      <c r="AU11" s="10" t="s">
        <v>266</v>
      </c>
    </row>
    <row r="12" customFormat="false" ht="15" hidden="false" customHeight="false" outlineLevel="0" collapsed="false">
      <c r="A12" s="4" t="s">
        <v>267</v>
      </c>
      <c r="B12" s="10" t="s">
        <v>268</v>
      </c>
      <c r="C12" s="10" t="n">
        <v>2022</v>
      </c>
      <c r="D12" s="10" t="s">
        <v>269</v>
      </c>
      <c r="E12" s="10" t="s">
        <v>270</v>
      </c>
      <c r="F12" s="10" t="s">
        <v>60</v>
      </c>
      <c r="G12" s="10" t="s">
        <v>271</v>
      </c>
      <c r="H12" s="10" t="s">
        <v>66</v>
      </c>
      <c r="I12" s="10" t="s">
        <v>66</v>
      </c>
      <c r="J12" s="10" t="s">
        <v>61</v>
      </c>
      <c r="K12" s="10" t="s">
        <v>66</v>
      </c>
      <c r="L12" s="10" t="s">
        <v>66</v>
      </c>
      <c r="M12" s="10" t="s">
        <v>61</v>
      </c>
      <c r="N12" s="10" t="s">
        <v>19</v>
      </c>
      <c r="O12" s="10"/>
      <c r="P12" s="10"/>
      <c r="Q12" s="10" t="s">
        <v>272</v>
      </c>
      <c r="R12" s="10" t="s">
        <v>61</v>
      </c>
      <c r="S12" s="10" t="s">
        <v>249</v>
      </c>
      <c r="T12" s="10" t="n">
        <v>1</v>
      </c>
      <c r="U12" s="10" t="s">
        <v>61</v>
      </c>
      <c r="V12" s="10" t="s">
        <v>66</v>
      </c>
      <c r="W12" s="10" t="s">
        <v>201</v>
      </c>
      <c r="X12" s="10"/>
      <c r="Y12" s="10"/>
      <c r="Z12" s="11" t="str">
        <f aca="false">IF(AND(ISNUMBER(X12),ISNUMBER(Y12),X12&gt;0),1-Y12/X12,"")</f>
        <v/>
      </c>
      <c r="AA12" s="10" t="s">
        <v>192</v>
      </c>
      <c r="AB12" s="10" t="s">
        <v>193</v>
      </c>
      <c r="AC12" s="10" t="s">
        <v>66</v>
      </c>
      <c r="AD12" s="10" t="s">
        <v>61</v>
      </c>
      <c r="AE12" s="10"/>
      <c r="AF12" s="12" t="str">
        <f aca="false">IF(ISNUMBER(AE12),IF(AE12&gt;99,"Y","N"),"")</f>
        <v/>
      </c>
      <c r="AG12" s="10" t="s">
        <v>66</v>
      </c>
      <c r="AH12" s="10" t="s">
        <v>66</v>
      </c>
      <c r="AI12" s="10" t="s">
        <v>66</v>
      </c>
      <c r="AJ12" s="10" t="s">
        <v>61</v>
      </c>
      <c r="AK12" s="10" t="s">
        <v>66</v>
      </c>
      <c r="AL12" s="10" t="s">
        <v>66</v>
      </c>
      <c r="AM12" s="10" t="s">
        <v>66</v>
      </c>
      <c r="AN12" s="10" t="s">
        <v>66</v>
      </c>
      <c r="AO12" s="10" t="s">
        <v>66</v>
      </c>
      <c r="AP12" s="10" t="s">
        <v>66</v>
      </c>
      <c r="AQ12" s="10" t="s">
        <v>66</v>
      </c>
      <c r="AR12" s="10" t="s">
        <v>66</v>
      </c>
      <c r="AS12" s="10" t="s">
        <v>66</v>
      </c>
      <c r="AT12" s="10"/>
      <c r="AU12" s="10" t="s">
        <v>273</v>
      </c>
    </row>
    <row r="13" customFormat="false" ht="15" hidden="false" customHeight="false" outlineLevel="0" collapsed="false">
      <c r="A13" s="4" t="s">
        <v>274</v>
      </c>
      <c r="B13" s="10" t="s">
        <v>275</v>
      </c>
      <c r="C13" s="10" t="n">
        <v>2022</v>
      </c>
      <c r="D13" s="10" t="s">
        <v>276</v>
      </c>
      <c r="E13" s="10" t="s">
        <v>277</v>
      </c>
      <c r="F13" s="10" t="s">
        <v>60</v>
      </c>
      <c r="G13" s="10" t="s">
        <v>278</v>
      </c>
      <c r="H13" s="10" t="s">
        <v>66</v>
      </c>
      <c r="I13" s="10" t="s">
        <v>61</v>
      </c>
      <c r="J13" s="10" t="s">
        <v>61</v>
      </c>
      <c r="K13" s="10" t="s">
        <v>66</v>
      </c>
      <c r="L13" s="10" t="s">
        <v>66</v>
      </c>
      <c r="M13" s="10" t="s">
        <v>66</v>
      </c>
      <c r="N13" s="10" t="s">
        <v>279</v>
      </c>
      <c r="O13" s="10"/>
      <c r="P13" s="10"/>
      <c r="Q13" s="10" t="s">
        <v>280</v>
      </c>
      <c r="R13" s="10" t="s">
        <v>66</v>
      </c>
      <c r="S13" s="10" t="s">
        <v>64</v>
      </c>
      <c r="T13" s="10" t="n">
        <v>1</v>
      </c>
      <c r="U13" s="10" t="s">
        <v>66</v>
      </c>
      <c r="V13" s="10" t="s">
        <v>66</v>
      </c>
      <c r="W13" s="10" t="s">
        <v>201</v>
      </c>
      <c r="X13" s="10" t="n">
        <v>198</v>
      </c>
      <c r="Y13" s="10" t="n">
        <v>1</v>
      </c>
      <c r="Z13" s="11" t="n">
        <f aca="false">IF(AND(ISNUMBER(X13),ISNUMBER(Y13),X13&gt;0),1-Y13/X13,"")</f>
        <v>0.994949494949495</v>
      </c>
      <c r="AA13" s="10" t="s">
        <v>192</v>
      </c>
      <c r="AB13" s="10" t="s">
        <v>193</v>
      </c>
      <c r="AC13" s="10" t="s">
        <v>66</v>
      </c>
      <c r="AD13" s="10" t="s">
        <v>66</v>
      </c>
      <c r="AE13" s="10" t="n">
        <v>99.97</v>
      </c>
      <c r="AF13" s="12" t="str">
        <f aca="false">IF(ISNUMBER(AE13),IF(AE13&gt;99,"Y","N"),"")</f>
        <v>Y</v>
      </c>
      <c r="AG13" s="10" t="s">
        <v>61</v>
      </c>
      <c r="AH13" s="10" t="s">
        <v>66</v>
      </c>
      <c r="AI13" s="10" t="s">
        <v>66</v>
      </c>
      <c r="AJ13" s="10" t="s">
        <v>66</v>
      </c>
      <c r="AK13" s="10" t="s">
        <v>66</v>
      </c>
      <c r="AL13" s="10" t="s">
        <v>66</v>
      </c>
      <c r="AM13" s="10" t="s">
        <v>66</v>
      </c>
      <c r="AN13" s="10" t="s">
        <v>66</v>
      </c>
      <c r="AO13" s="10" t="s">
        <v>66</v>
      </c>
      <c r="AP13" s="10" t="s">
        <v>66</v>
      </c>
      <c r="AQ13" s="10" t="s">
        <v>66</v>
      </c>
      <c r="AR13" s="10" t="s">
        <v>66</v>
      </c>
      <c r="AS13" s="10" t="s">
        <v>66</v>
      </c>
      <c r="AT13" s="10"/>
      <c r="AU13" s="10" t="s">
        <v>281</v>
      </c>
    </row>
    <row r="14" customFormat="false" ht="15" hidden="false" customHeight="false" outlineLevel="0" collapsed="false">
      <c r="A14" s="4" t="s">
        <v>282</v>
      </c>
      <c r="B14" s="10" t="s">
        <v>283</v>
      </c>
      <c r="C14" s="10" t="n">
        <v>2022</v>
      </c>
      <c r="D14" s="10" t="s">
        <v>284</v>
      </c>
      <c r="E14" s="10" t="s">
        <v>285</v>
      </c>
      <c r="F14" s="10" t="s">
        <v>60</v>
      </c>
      <c r="G14" s="10" t="s">
        <v>286</v>
      </c>
      <c r="H14" s="10" t="s">
        <v>66</v>
      </c>
      <c r="I14" s="10" t="s">
        <v>61</v>
      </c>
      <c r="J14" s="10" t="s">
        <v>61</v>
      </c>
      <c r="K14" s="10" t="s">
        <v>61</v>
      </c>
      <c r="L14" s="10" t="s">
        <v>66</v>
      </c>
      <c r="M14" s="10" t="s">
        <v>66</v>
      </c>
      <c r="N14" s="10" t="s">
        <v>19</v>
      </c>
      <c r="O14" s="10"/>
      <c r="P14" s="10"/>
      <c r="Q14" s="10" t="s">
        <v>287</v>
      </c>
      <c r="R14" s="10" t="s">
        <v>61</v>
      </c>
      <c r="S14" s="10" t="s">
        <v>288</v>
      </c>
      <c r="T14" s="10" t="n">
        <v>3</v>
      </c>
      <c r="U14" s="10" t="s">
        <v>66</v>
      </c>
      <c r="V14" s="10" t="s">
        <v>66</v>
      </c>
      <c r="W14" s="10" t="s">
        <v>65</v>
      </c>
      <c r="X14" s="10" t="n">
        <v>9</v>
      </c>
      <c r="Y14" s="10" t="n">
        <v>1</v>
      </c>
      <c r="Z14" s="11" t="n">
        <f aca="false">IF(AND(ISNUMBER(X14),ISNUMBER(Y14),X14&gt;0),1-Y14/X14,"")</f>
        <v>0.888888888888889</v>
      </c>
      <c r="AA14" s="10" t="s">
        <v>192</v>
      </c>
      <c r="AB14" s="10" t="s">
        <v>193</v>
      </c>
      <c r="AC14" s="10" t="s">
        <v>66</v>
      </c>
      <c r="AD14" s="10" t="s">
        <v>66</v>
      </c>
      <c r="AE14" s="10" t="n">
        <v>97.5</v>
      </c>
      <c r="AF14" s="12" t="str">
        <f aca="false">IF(ISNUMBER(AE14),IF(AE14&gt;99,"Y","N"),"")</f>
        <v>N</v>
      </c>
      <c r="AG14" s="10" t="s">
        <v>61</v>
      </c>
      <c r="AH14" s="10" t="s">
        <v>61</v>
      </c>
      <c r="AI14" s="10" t="s">
        <v>66</v>
      </c>
      <c r="AJ14" s="10" t="s">
        <v>61</v>
      </c>
      <c r="AK14" s="10" t="s">
        <v>61</v>
      </c>
      <c r="AL14" s="10" t="s">
        <v>66</v>
      </c>
      <c r="AM14" s="10" t="s">
        <v>66</v>
      </c>
      <c r="AN14" s="10" t="s">
        <v>66</v>
      </c>
      <c r="AO14" s="10" t="s">
        <v>66</v>
      </c>
      <c r="AP14" s="10" t="s">
        <v>66</v>
      </c>
      <c r="AQ14" s="10" t="s">
        <v>66</v>
      </c>
      <c r="AR14" s="10" t="s">
        <v>66</v>
      </c>
      <c r="AS14" s="10" t="s">
        <v>66</v>
      </c>
      <c r="AT14" s="10"/>
      <c r="AU14" s="10" t="s">
        <v>289</v>
      </c>
    </row>
    <row r="15" customFormat="false" ht="15" hidden="false" customHeight="false" outlineLevel="0" collapsed="false">
      <c r="A15" s="4" t="s">
        <v>290</v>
      </c>
      <c r="B15" s="10" t="s">
        <v>291</v>
      </c>
      <c r="C15" s="10" t="n">
        <v>2022</v>
      </c>
      <c r="D15" s="10" t="s">
        <v>292</v>
      </c>
      <c r="E15" s="10" t="s">
        <v>293</v>
      </c>
      <c r="F15" s="10" t="s">
        <v>60</v>
      </c>
      <c r="G15" s="10" t="s">
        <v>294</v>
      </c>
      <c r="H15" s="10" t="s">
        <v>61</v>
      </c>
      <c r="I15" s="10" t="s">
        <v>61</v>
      </c>
      <c r="J15" s="10" t="s">
        <v>61</v>
      </c>
      <c r="K15" s="10" t="s">
        <v>66</v>
      </c>
      <c r="L15" s="10" t="s">
        <v>66</v>
      </c>
      <c r="M15" s="10" t="s">
        <v>61</v>
      </c>
      <c r="N15" s="10" t="s">
        <v>20</v>
      </c>
      <c r="O15" s="10"/>
      <c r="P15" s="10"/>
      <c r="Q15" s="10" t="s">
        <v>295</v>
      </c>
      <c r="R15" s="10" t="s">
        <v>61</v>
      </c>
      <c r="S15" s="10" t="s">
        <v>296</v>
      </c>
      <c r="T15" s="10" t="n">
        <v>1</v>
      </c>
      <c r="U15" s="10" t="s">
        <v>66</v>
      </c>
      <c r="V15" s="10" t="s">
        <v>66</v>
      </c>
      <c r="W15" s="10"/>
      <c r="X15" s="10"/>
      <c r="Y15" s="10"/>
      <c r="Z15" s="11" t="str">
        <f aca="false">IF(AND(ISNUMBER(X15),ISNUMBER(Y15),X15&gt;0),1-Y15/X15,"")</f>
        <v/>
      </c>
      <c r="AA15" s="10" t="s">
        <v>192</v>
      </c>
      <c r="AB15" s="10" t="s">
        <v>193</v>
      </c>
      <c r="AC15" s="10" t="s">
        <v>66</v>
      </c>
      <c r="AD15" s="10" t="s">
        <v>61</v>
      </c>
      <c r="AE15" s="10" t="n">
        <v>99.2</v>
      </c>
      <c r="AF15" s="12" t="str">
        <f aca="false">IF(ISNUMBER(AE15),IF(AE15&gt;99,"Y","N"),"")</f>
        <v>Y</v>
      </c>
      <c r="AG15" s="10" t="s">
        <v>61</v>
      </c>
      <c r="AH15" s="10" t="s">
        <v>66</v>
      </c>
      <c r="AI15" s="10" t="s">
        <v>66</v>
      </c>
      <c r="AJ15" s="10" t="s">
        <v>61</v>
      </c>
      <c r="AK15" s="10" t="s">
        <v>61</v>
      </c>
      <c r="AL15" s="10" t="s">
        <v>66</v>
      </c>
      <c r="AM15" s="10" t="s">
        <v>66</v>
      </c>
      <c r="AN15" s="10" t="s">
        <v>66</v>
      </c>
      <c r="AO15" s="10" t="s">
        <v>66</v>
      </c>
      <c r="AP15" s="10" t="s">
        <v>66</v>
      </c>
      <c r="AQ15" s="10" t="s">
        <v>66</v>
      </c>
      <c r="AR15" s="10" t="s">
        <v>66</v>
      </c>
      <c r="AS15" s="10" t="s">
        <v>66</v>
      </c>
      <c r="AT15" s="10"/>
      <c r="AU15" s="10" t="s">
        <v>297</v>
      </c>
    </row>
    <row r="16" customFormat="false" ht="15" hidden="false" customHeight="false" outlineLevel="0" collapsed="false">
      <c r="A16" s="4" t="s">
        <v>298</v>
      </c>
      <c r="B16" s="10" t="s">
        <v>299</v>
      </c>
      <c r="C16" s="10" t="n">
        <v>2022</v>
      </c>
      <c r="D16" s="10" t="s">
        <v>300</v>
      </c>
      <c r="E16" s="10" t="s">
        <v>301</v>
      </c>
      <c r="F16" s="10" t="s">
        <v>60</v>
      </c>
      <c r="G16" s="10" t="s">
        <v>302</v>
      </c>
      <c r="H16" s="10" t="s">
        <v>61</v>
      </c>
      <c r="I16" s="10" t="s">
        <v>66</v>
      </c>
      <c r="J16" s="10" t="s">
        <v>61</v>
      </c>
      <c r="K16" s="10" t="s">
        <v>66</v>
      </c>
      <c r="L16" s="10" t="s">
        <v>66</v>
      </c>
      <c r="M16" s="10" t="s">
        <v>61</v>
      </c>
      <c r="N16" s="10" t="s">
        <v>208</v>
      </c>
      <c r="O16" s="10"/>
      <c r="P16" s="10"/>
      <c r="Q16" s="10" t="s">
        <v>303</v>
      </c>
      <c r="R16" s="10" t="s">
        <v>61</v>
      </c>
      <c r="S16" s="10" t="s">
        <v>304</v>
      </c>
      <c r="T16" s="10" t="n">
        <v>2</v>
      </c>
      <c r="U16" s="10" t="s">
        <v>66</v>
      </c>
      <c r="V16" s="10" t="s">
        <v>66</v>
      </c>
      <c r="W16" s="10" t="s">
        <v>201</v>
      </c>
      <c r="X16" s="10"/>
      <c r="Y16" s="10"/>
      <c r="Z16" s="11" t="str">
        <f aca="false">IF(AND(ISNUMBER(X16),ISNUMBER(Y16),X16&gt;0),1-Y16/X16,"")</f>
        <v/>
      </c>
      <c r="AA16" s="10" t="s">
        <v>192</v>
      </c>
      <c r="AB16" s="10" t="s">
        <v>193</v>
      </c>
      <c r="AC16" s="10" t="s">
        <v>66</v>
      </c>
      <c r="AD16" s="10" t="s">
        <v>66</v>
      </c>
      <c r="AE16" s="10" t="n">
        <v>99.5</v>
      </c>
      <c r="AF16" s="12" t="str">
        <f aca="false">IF(ISNUMBER(AE16),IF(AE16&gt;99,"Y","N"),"")</f>
        <v>Y</v>
      </c>
      <c r="AG16" s="10" t="s">
        <v>61</v>
      </c>
      <c r="AH16" s="10" t="s">
        <v>61</v>
      </c>
      <c r="AI16" s="10" t="s">
        <v>66</v>
      </c>
      <c r="AJ16" s="10" t="s">
        <v>66</v>
      </c>
      <c r="AK16" s="10" t="s">
        <v>61</v>
      </c>
      <c r="AL16" s="10" t="s">
        <v>66</v>
      </c>
      <c r="AM16" s="10" t="s">
        <v>66</v>
      </c>
      <c r="AN16" s="10" t="s">
        <v>66</v>
      </c>
      <c r="AO16" s="10" t="s">
        <v>66</v>
      </c>
      <c r="AP16" s="10" t="s">
        <v>66</v>
      </c>
      <c r="AQ16" s="10" t="s">
        <v>66</v>
      </c>
      <c r="AR16" s="10" t="s">
        <v>66</v>
      </c>
      <c r="AS16" s="10" t="s">
        <v>66</v>
      </c>
      <c r="AT16" s="10"/>
      <c r="AU16" s="10" t="s">
        <v>305</v>
      </c>
    </row>
    <row r="17" customFormat="false" ht="15" hidden="false" customHeight="false" outlineLevel="0" collapsed="false">
      <c r="A17" s="4" t="s">
        <v>306</v>
      </c>
      <c r="B17" s="10" t="s">
        <v>307</v>
      </c>
      <c r="C17" s="10" t="n">
        <v>2022</v>
      </c>
      <c r="D17" s="10" t="s">
        <v>308</v>
      </c>
      <c r="E17" s="10" t="s">
        <v>309</v>
      </c>
      <c r="F17" s="10" t="s">
        <v>60</v>
      </c>
      <c r="G17" s="10" t="s">
        <v>310</v>
      </c>
      <c r="H17" s="10" t="s">
        <v>61</v>
      </c>
      <c r="I17" s="10" t="s">
        <v>61</v>
      </c>
      <c r="J17" s="10" t="s">
        <v>61</v>
      </c>
      <c r="K17" s="10" t="s">
        <v>66</v>
      </c>
      <c r="L17" s="10" t="s">
        <v>61</v>
      </c>
      <c r="M17" s="10" t="s">
        <v>61</v>
      </c>
      <c r="N17" s="10" t="s">
        <v>208</v>
      </c>
      <c r="O17" s="10"/>
      <c r="P17" s="10"/>
      <c r="Q17" s="10" t="s">
        <v>311</v>
      </c>
      <c r="R17" s="10" t="s">
        <v>61</v>
      </c>
      <c r="S17" s="10" t="s">
        <v>249</v>
      </c>
      <c r="T17" s="10" t="n">
        <v>1</v>
      </c>
      <c r="U17" s="10" t="s">
        <v>61</v>
      </c>
      <c r="V17" s="10" t="s">
        <v>66</v>
      </c>
      <c r="W17" s="10"/>
      <c r="X17" s="10"/>
      <c r="Y17" s="10"/>
      <c r="Z17" s="11" t="str">
        <f aca="false">IF(AND(ISNUMBER(X17),ISNUMBER(Y17),X17&gt;0),1-Y17/X17,"")</f>
        <v/>
      </c>
      <c r="AA17" s="10" t="s">
        <v>192</v>
      </c>
      <c r="AB17" s="10" t="s">
        <v>193</v>
      </c>
      <c r="AC17" s="10" t="s">
        <v>61</v>
      </c>
      <c r="AD17" s="10" t="s">
        <v>66</v>
      </c>
      <c r="AE17" s="10"/>
      <c r="AF17" s="12" t="str">
        <f aca="false">IF(ISNUMBER(AE17),IF(AE17&gt;99,"Y","N"),"")</f>
        <v/>
      </c>
      <c r="AG17" s="10" t="s">
        <v>61</v>
      </c>
      <c r="AH17" s="10" t="s">
        <v>66</v>
      </c>
      <c r="AI17" s="10" t="s">
        <v>66</v>
      </c>
      <c r="AJ17" s="10" t="s">
        <v>61</v>
      </c>
      <c r="AK17" s="10" t="s">
        <v>66</v>
      </c>
      <c r="AL17" s="10" t="s">
        <v>66</v>
      </c>
      <c r="AM17" s="10" t="s">
        <v>66</v>
      </c>
      <c r="AN17" s="10" t="s">
        <v>66</v>
      </c>
      <c r="AO17" s="10" t="s">
        <v>66</v>
      </c>
      <c r="AP17" s="10" t="s">
        <v>66</v>
      </c>
      <c r="AQ17" s="10" t="s">
        <v>66</v>
      </c>
      <c r="AR17" s="10" t="s">
        <v>66</v>
      </c>
      <c r="AS17" s="10" t="s">
        <v>66</v>
      </c>
      <c r="AT17" s="10"/>
      <c r="AU17" s="10" t="s">
        <v>312</v>
      </c>
    </row>
    <row r="18" customFormat="false" ht="15" hidden="false" customHeight="false" outlineLevel="0" collapsed="false">
      <c r="A18" s="4" t="s">
        <v>313</v>
      </c>
      <c r="B18" s="10" t="s">
        <v>314</v>
      </c>
      <c r="C18" s="10" t="n">
        <v>2022</v>
      </c>
      <c r="D18" s="10" t="s">
        <v>315</v>
      </c>
      <c r="E18" s="10" t="s">
        <v>316</v>
      </c>
      <c r="F18" s="10" t="s">
        <v>60</v>
      </c>
      <c r="G18" s="10" t="s">
        <v>317</v>
      </c>
      <c r="H18" s="10" t="s">
        <v>66</v>
      </c>
      <c r="I18" s="10" t="s">
        <v>66</v>
      </c>
      <c r="J18" s="10" t="s">
        <v>61</v>
      </c>
      <c r="K18" s="10" t="s">
        <v>66</v>
      </c>
      <c r="L18" s="10" t="s">
        <v>66</v>
      </c>
      <c r="M18" s="10" t="s">
        <v>61</v>
      </c>
      <c r="N18" s="10" t="s">
        <v>208</v>
      </c>
      <c r="O18" s="10"/>
      <c r="P18" s="10"/>
      <c r="Q18" s="10" t="s">
        <v>318</v>
      </c>
      <c r="R18" s="10" t="s">
        <v>61</v>
      </c>
      <c r="S18" s="10" t="s">
        <v>249</v>
      </c>
      <c r="T18" s="10" t="n">
        <v>1</v>
      </c>
      <c r="U18" s="10" t="s">
        <v>61</v>
      </c>
      <c r="V18" s="10" t="s">
        <v>66</v>
      </c>
      <c r="W18" s="10" t="s">
        <v>201</v>
      </c>
      <c r="X18" s="10"/>
      <c r="Y18" s="10"/>
      <c r="Z18" s="11" t="str">
        <f aca="false">IF(AND(ISNUMBER(X18),ISNUMBER(Y18),X18&gt;0),1-Y18/X18,"")</f>
        <v/>
      </c>
      <c r="AA18" s="10" t="s">
        <v>192</v>
      </c>
      <c r="AB18" s="10" t="s">
        <v>193</v>
      </c>
      <c r="AC18" s="10" t="s">
        <v>66</v>
      </c>
      <c r="AD18" s="10" t="s">
        <v>66</v>
      </c>
      <c r="AE18" s="10"/>
      <c r="AF18" s="12" t="str">
        <f aca="false">IF(ISNUMBER(AE18),IF(AE18&gt;99,"Y","N"),"")</f>
        <v/>
      </c>
      <c r="AG18" s="10" t="s">
        <v>66</v>
      </c>
      <c r="AH18" s="10" t="s">
        <v>66</v>
      </c>
      <c r="AI18" s="10" t="s">
        <v>66</v>
      </c>
      <c r="AJ18" s="10" t="s">
        <v>66</v>
      </c>
      <c r="AK18" s="10" t="s">
        <v>66</v>
      </c>
      <c r="AL18" s="10" t="s">
        <v>66</v>
      </c>
      <c r="AM18" s="10" t="s">
        <v>66</v>
      </c>
      <c r="AN18" s="10" t="s">
        <v>66</v>
      </c>
      <c r="AO18" s="10" t="s">
        <v>66</v>
      </c>
      <c r="AP18" s="10" t="s">
        <v>66</v>
      </c>
      <c r="AQ18" s="10" t="s">
        <v>66</v>
      </c>
      <c r="AR18" s="10" t="s">
        <v>66</v>
      </c>
      <c r="AS18" s="10" t="s">
        <v>66</v>
      </c>
      <c r="AT18" s="10"/>
      <c r="AU18" s="10" t="s">
        <v>319</v>
      </c>
    </row>
    <row r="19" customFormat="false" ht="15" hidden="false" customHeight="false" outlineLevel="0" collapsed="false">
      <c r="A19" s="4" t="s">
        <v>320</v>
      </c>
      <c r="B19" s="10" t="s">
        <v>321</v>
      </c>
      <c r="C19" s="10" t="n">
        <v>2022</v>
      </c>
      <c r="D19" s="10" t="s">
        <v>322</v>
      </c>
      <c r="E19" s="10" t="s">
        <v>323</v>
      </c>
      <c r="F19" s="10" t="s">
        <v>60</v>
      </c>
      <c r="G19" s="10" t="s">
        <v>324</v>
      </c>
      <c r="H19" s="10" t="s">
        <v>66</v>
      </c>
      <c r="I19" s="10" t="s">
        <v>66</v>
      </c>
      <c r="J19" s="10" t="s">
        <v>61</v>
      </c>
      <c r="K19" s="10" t="s">
        <v>66</v>
      </c>
      <c r="L19" s="10" t="s">
        <v>66</v>
      </c>
      <c r="M19" s="10" t="s">
        <v>61</v>
      </c>
      <c r="N19" s="10" t="s">
        <v>208</v>
      </c>
      <c r="O19" s="10"/>
      <c r="P19" s="10"/>
      <c r="Q19" s="10" t="s">
        <v>325</v>
      </c>
      <c r="R19" s="10" t="s">
        <v>66</v>
      </c>
      <c r="S19" s="10" t="s">
        <v>326</v>
      </c>
      <c r="T19" s="10" t="n">
        <v>1</v>
      </c>
      <c r="U19" s="10" t="s">
        <v>61</v>
      </c>
      <c r="V19" s="10" t="s">
        <v>66</v>
      </c>
      <c r="W19" s="10" t="s">
        <v>65</v>
      </c>
      <c r="X19" s="10"/>
      <c r="Y19" s="10"/>
      <c r="Z19" s="11" t="str">
        <f aca="false">IF(AND(ISNUMBER(X19),ISNUMBER(Y19),X19&gt;0),1-Y19/X19,"")</f>
        <v/>
      </c>
      <c r="AA19" s="10" t="s">
        <v>192</v>
      </c>
      <c r="AB19" s="10" t="s">
        <v>193</v>
      </c>
      <c r="AC19" s="10" t="s">
        <v>66</v>
      </c>
      <c r="AD19" s="10" t="s">
        <v>61</v>
      </c>
      <c r="AE19" s="10" t="n">
        <v>96.94</v>
      </c>
      <c r="AF19" s="12" t="str">
        <f aca="false">IF(ISNUMBER(AE19),IF(AE19&gt;99,"Y","N"),"")</f>
        <v>N</v>
      </c>
      <c r="AG19" s="10" t="s">
        <v>61</v>
      </c>
      <c r="AH19" s="10" t="s">
        <v>66</v>
      </c>
      <c r="AI19" s="10" t="s">
        <v>66</v>
      </c>
      <c r="AJ19" s="10" t="s">
        <v>61</v>
      </c>
      <c r="AK19" s="10" t="s">
        <v>66</v>
      </c>
      <c r="AL19" s="10" t="s">
        <v>66</v>
      </c>
      <c r="AM19" s="10" t="s">
        <v>66</v>
      </c>
      <c r="AN19" s="10" t="s">
        <v>66</v>
      </c>
      <c r="AO19" s="10" t="s">
        <v>66</v>
      </c>
      <c r="AP19" s="10" t="s">
        <v>66</v>
      </c>
      <c r="AQ19" s="10" t="s">
        <v>66</v>
      </c>
      <c r="AR19" s="10" t="s">
        <v>66</v>
      </c>
      <c r="AS19" s="10" t="s">
        <v>66</v>
      </c>
      <c r="AT19" s="10"/>
      <c r="AU19" s="10" t="s">
        <v>327</v>
      </c>
    </row>
    <row r="20" customFormat="false" ht="15" hidden="false" customHeight="false" outlineLevel="0" collapsed="false">
      <c r="A20" s="4" t="s">
        <v>328</v>
      </c>
      <c r="B20" s="10" t="s">
        <v>329</v>
      </c>
      <c r="C20" s="10" t="n">
        <v>2022</v>
      </c>
      <c r="D20" s="10" t="s">
        <v>330</v>
      </c>
      <c r="E20" s="10" t="s">
        <v>331</v>
      </c>
      <c r="F20" s="10" t="s">
        <v>60</v>
      </c>
      <c r="G20" s="10" t="s">
        <v>332</v>
      </c>
      <c r="H20" s="10" t="s">
        <v>61</v>
      </c>
      <c r="I20" s="10" t="s">
        <v>66</v>
      </c>
      <c r="J20" s="10" t="s">
        <v>61</v>
      </c>
      <c r="K20" s="10" t="s">
        <v>66</v>
      </c>
      <c r="L20" s="10" t="s">
        <v>66</v>
      </c>
      <c r="M20" s="10" t="s">
        <v>66</v>
      </c>
      <c r="N20" s="10" t="s">
        <v>208</v>
      </c>
      <c r="O20" s="10"/>
      <c r="P20" s="10"/>
      <c r="Q20" s="10" t="s">
        <v>333</v>
      </c>
      <c r="R20" s="10" t="s">
        <v>66</v>
      </c>
      <c r="S20" s="10" t="s">
        <v>64</v>
      </c>
      <c r="T20" s="10" t="n">
        <v>1</v>
      </c>
      <c r="U20" s="10" t="s">
        <v>66</v>
      </c>
      <c r="V20" s="10" t="s">
        <v>66</v>
      </c>
      <c r="W20" s="10" t="s">
        <v>201</v>
      </c>
      <c r="X20" s="10"/>
      <c r="Y20" s="10"/>
      <c r="Z20" s="11" t="str">
        <f aca="false">IF(AND(ISNUMBER(X20),ISNUMBER(Y20),X20&gt;0),1-Y20/X20,"")</f>
        <v/>
      </c>
      <c r="AA20" s="10" t="s">
        <v>192</v>
      </c>
      <c r="AB20" s="10" t="s">
        <v>193</v>
      </c>
      <c r="AC20" s="10" t="s">
        <v>61</v>
      </c>
      <c r="AD20" s="10" t="s">
        <v>66</v>
      </c>
      <c r="AE20" s="10"/>
      <c r="AF20" s="12" t="str">
        <f aca="false">IF(ISNUMBER(AE20),IF(AE20&gt;99,"Y","N"),"")</f>
        <v/>
      </c>
      <c r="AG20" s="10" t="s">
        <v>61</v>
      </c>
      <c r="AH20" s="10" t="s">
        <v>61</v>
      </c>
      <c r="AI20" s="10" t="s">
        <v>66</v>
      </c>
      <c r="AJ20" s="10" t="s">
        <v>61</v>
      </c>
      <c r="AK20" s="10" t="s">
        <v>66</v>
      </c>
      <c r="AL20" s="10" t="s">
        <v>66</v>
      </c>
      <c r="AM20" s="10" t="s">
        <v>66</v>
      </c>
      <c r="AN20" s="10" t="s">
        <v>66</v>
      </c>
      <c r="AO20" s="10" t="s">
        <v>66</v>
      </c>
      <c r="AP20" s="10" t="s">
        <v>66</v>
      </c>
      <c r="AQ20" s="10" t="s">
        <v>66</v>
      </c>
      <c r="AR20" s="10" t="s">
        <v>66</v>
      </c>
      <c r="AS20" s="10" t="s">
        <v>66</v>
      </c>
      <c r="AT20" s="10"/>
      <c r="AU20" s="10" t="s">
        <v>334</v>
      </c>
    </row>
    <row r="21" customFormat="false" ht="15" hidden="false" customHeight="false" outlineLevel="0" collapsed="false">
      <c r="A21" s="4" t="s">
        <v>335</v>
      </c>
      <c r="B21" s="10" t="s">
        <v>336</v>
      </c>
      <c r="C21" s="10" t="n">
        <v>2022</v>
      </c>
      <c r="D21" s="10" t="s">
        <v>337</v>
      </c>
      <c r="E21" s="10" t="s">
        <v>338</v>
      </c>
      <c r="F21" s="10" t="s">
        <v>60</v>
      </c>
      <c r="G21" s="10" t="s">
        <v>339</v>
      </c>
      <c r="H21" s="10" t="s">
        <v>66</v>
      </c>
      <c r="I21" s="10" t="s">
        <v>66</v>
      </c>
      <c r="J21" s="10" t="s">
        <v>61</v>
      </c>
      <c r="K21" s="10" t="s">
        <v>66</v>
      </c>
      <c r="L21" s="10" t="s">
        <v>66</v>
      </c>
      <c r="M21" s="10" t="s">
        <v>66</v>
      </c>
      <c r="N21" s="10" t="s">
        <v>208</v>
      </c>
      <c r="O21" s="10"/>
      <c r="P21" s="10"/>
      <c r="Q21" s="10" t="s">
        <v>340</v>
      </c>
      <c r="R21" s="10" t="s">
        <v>66</v>
      </c>
      <c r="S21" s="10" t="s">
        <v>249</v>
      </c>
      <c r="T21" s="10" t="n">
        <v>1</v>
      </c>
      <c r="U21" s="10" t="s">
        <v>61</v>
      </c>
      <c r="V21" s="10" t="s">
        <v>66</v>
      </c>
      <c r="W21" s="10" t="s">
        <v>201</v>
      </c>
      <c r="X21" s="10"/>
      <c r="Y21" s="10"/>
      <c r="Z21" s="11" t="str">
        <f aca="false">IF(AND(ISNUMBER(X21),ISNUMBER(Y21),X21&gt;0),1-Y21/X21,"")</f>
        <v/>
      </c>
      <c r="AA21" s="10" t="s">
        <v>192</v>
      </c>
      <c r="AB21" s="10" t="s">
        <v>193</v>
      </c>
      <c r="AC21" s="10" t="s">
        <v>66</v>
      </c>
      <c r="AD21" s="10" t="s">
        <v>66</v>
      </c>
      <c r="AE21" s="10"/>
      <c r="AF21" s="12" t="str">
        <f aca="false">IF(ISNUMBER(AE21),IF(AE21&gt;99,"Y","N"),"")</f>
        <v/>
      </c>
      <c r="AG21" s="10" t="s">
        <v>66</v>
      </c>
      <c r="AH21" s="10" t="s">
        <v>66</v>
      </c>
      <c r="AI21" s="10" t="s">
        <v>61</v>
      </c>
      <c r="AJ21" s="10" t="s">
        <v>66</v>
      </c>
      <c r="AK21" s="10" t="s">
        <v>66</v>
      </c>
      <c r="AL21" s="10" t="s">
        <v>66</v>
      </c>
      <c r="AM21" s="10" t="s">
        <v>66</v>
      </c>
      <c r="AN21" s="10" t="s">
        <v>66</v>
      </c>
      <c r="AO21" s="10" t="s">
        <v>66</v>
      </c>
      <c r="AP21" s="10" t="s">
        <v>66</v>
      </c>
      <c r="AQ21" s="10" t="s">
        <v>66</v>
      </c>
      <c r="AR21" s="10" t="s">
        <v>66</v>
      </c>
      <c r="AS21" s="10" t="s">
        <v>66</v>
      </c>
      <c r="AT21" s="10"/>
      <c r="AU21" s="10" t="s">
        <v>341</v>
      </c>
    </row>
    <row r="22" customFormat="false" ht="15" hidden="false" customHeight="false" outlineLevel="0" collapsed="false">
      <c r="A22" s="4" t="s">
        <v>342</v>
      </c>
      <c r="B22" s="10" t="s">
        <v>343</v>
      </c>
      <c r="C22" s="10" t="n">
        <v>2022</v>
      </c>
      <c r="D22" s="10" t="s">
        <v>344</v>
      </c>
      <c r="E22" s="10" t="s">
        <v>345</v>
      </c>
      <c r="F22" s="10" t="s">
        <v>60</v>
      </c>
      <c r="G22" s="10" t="s">
        <v>346</v>
      </c>
      <c r="H22" s="10" t="s">
        <v>61</v>
      </c>
      <c r="I22" s="10" t="s">
        <v>66</v>
      </c>
      <c r="J22" s="10" t="s">
        <v>66</v>
      </c>
      <c r="K22" s="10" t="s">
        <v>66</v>
      </c>
      <c r="L22" s="10" t="s">
        <v>66</v>
      </c>
      <c r="M22" s="10" t="s">
        <v>61</v>
      </c>
      <c r="N22" s="10" t="s">
        <v>279</v>
      </c>
      <c r="O22" s="10"/>
      <c r="P22" s="10"/>
      <c r="Q22" s="10" t="s">
        <v>347</v>
      </c>
      <c r="R22" s="10" t="s">
        <v>61</v>
      </c>
      <c r="S22" s="10" t="s">
        <v>326</v>
      </c>
      <c r="T22" s="10" t="n">
        <v>1</v>
      </c>
      <c r="U22" s="10" t="s">
        <v>61</v>
      </c>
      <c r="V22" s="10" t="s">
        <v>66</v>
      </c>
      <c r="W22" s="10" t="s">
        <v>65</v>
      </c>
      <c r="X22" s="10" t="n">
        <v>41</v>
      </c>
      <c r="Y22" s="10" t="n">
        <v>23</v>
      </c>
      <c r="Z22" s="11" t="n">
        <f aca="false">IF(AND(ISNUMBER(X22),ISNUMBER(Y22),X22&gt;0),1-Y22/X22,"")</f>
        <v>0.439024390243902</v>
      </c>
      <c r="AA22" s="10" t="s">
        <v>202</v>
      </c>
      <c r="AB22" s="10" t="s">
        <v>193</v>
      </c>
      <c r="AC22" s="10" t="s">
        <v>66</v>
      </c>
      <c r="AD22" s="10" t="s">
        <v>61</v>
      </c>
      <c r="AE22" s="10" t="n">
        <v>82.2</v>
      </c>
      <c r="AF22" s="12" t="str">
        <f aca="false">IF(ISNUMBER(AE22),IF(AE22&gt;99,"Y","N"),"")</f>
        <v>N</v>
      </c>
      <c r="AG22" s="10" t="s">
        <v>61</v>
      </c>
      <c r="AH22" s="10" t="s">
        <v>61</v>
      </c>
      <c r="AI22" s="10" t="s">
        <v>66</v>
      </c>
      <c r="AJ22" s="10" t="s">
        <v>61</v>
      </c>
      <c r="AK22" s="10" t="s">
        <v>61</v>
      </c>
      <c r="AL22" s="10" t="s">
        <v>66</v>
      </c>
      <c r="AM22" s="10" t="s">
        <v>66</v>
      </c>
      <c r="AN22" s="10" t="s">
        <v>66</v>
      </c>
      <c r="AO22" s="10" t="s">
        <v>66</v>
      </c>
      <c r="AP22" s="10" t="s">
        <v>66</v>
      </c>
      <c r="AQ22" s="10" t="s">
        <v>66</v>
      </c>
      <c r="AR22" s="10" t="s">
        <v>66</v>
      </c>
      <c r="AS22" s="10" t="s">
        <v>66</v>
      </c>
      <c r="AT22" s="10"/>
      <c r="AU22" s="10" t="s">
        <v>348</v>
      </c>
    </row>
    <row r="23" customFormat="false" ht="15" hidden="false" customHeight="false" outlineLevel="0" collapsed="false">
      <c r="A23" s="4" t="s">
        <v>349</v>
      </c>
      <c r="B23" s="10" t="s">
        <v>350</v>
      </c>
      <c r="C23" s="10" t="n">
        <v>2023</v>
      </c>
      <c r="D23" s="10" t="s">
        <v>351</v>
      </c>
      <c r="E23" s="10" t="s">
        <v>352</v>
      </c>
      <c r="F23" s="10" t="s">
        <v>60</v>
      </c>
      <c r="G23" s="10" t="s">
        <v>353</v>
      </c>
      <c r="H23" s="10" t="s">
        <v>61</v>
      </c>
      <c r="I23" s="10" t="s">
        <v>66</v>
      </c>
      <c r="J23" s="10" t="s">
        <v>61</v>
      </c>
      <c r="K23" s="10" t="s">
        <v>66</v>
      </c>
      <c r="L23" s="10" t="s">
        <v>66</v>
      </c>
      <c r="M23" s="10" t="s">
        <v>61</v>
      </c>
      <c r="N23" s="10" t="s">
        <v>279</v>
      </c>
      <c r="O23" s="10"/>
      <c r="P23" s="10"/>
      <c r="Q23" s="10" t="s">
        <v>354</v>
      </c>
      <c r="R23" s="10" t="s">
        <v>61</v>
      </c>
      <c r="S23" s="10" t="s">
        <v>355</v>
      </c>
      <c r="T23" s="10" t="n">
        <v>2</v>
      </c>
      <c r="U23" s="10" t="s">
        <v>66</v>
      </c>
      <c r="V23" s="10" t="s">
        <v>66</v>
      </c>
      <c r="W23" s="10" t="s">
        <v>241</v>
      </c>
      <c r="X23" s="10"/>
      <c r="Y23" s="10" t="n">
        <v>13</v>
      </c>
      <c r="Z23" s="11" t="str">
        <f aca="false">IF(AND(ISNUMBER(X23),ISNUMBER(Y23),X23&gt;0),1-Y23/X23,"")</f>
        <v/>
      </c>
      <c r="AA23" s="10" t="s">
        <v>356</v>
      </c>
      <c r="AB23" s="10" t="s">
        <v>193</v>
      </c>
      <c r="AC23" s="10" t="s">
        <v>66</v>
      </c>
      <c r="AD23" s="10" t="s">
        <v>61</v>
      </c>
      <c r="AE23" s="10" t="n">
        <v>99.99</v>
      </c>
      <c r="AF23" s="12" t="str">
        <f aca="false">IF(ISNUMBER(AE23),IF(AE23&gt;99,"Y","N"),"")</f>
        <v>Y</v>
      </c>
      <c r="AG23" s="10" t="s">
        <v>61</v>
      </c>
      <c r="AH23" s="10" t="s">
        <v>66</v>
      </c>
      <c r="AI23" s="10" t="s">
        <v>66</v>
      </c>
      <c r="AJ23" s="10" t="s">
        <v>61</v>
      </c>
      <c r="AK23" s="10" t="s">
        <v>66</v>
      </c>
      <c r="AL23" s="10" t="s">
        <v>61</v>
      </c>
      <c r="AM23" s="10" t="s">
        <v>66</v>
      </c>
      <c r="AN23" s="10" t="s">
        <v>66</v>
      </c>
      <c r="AO23" s="10" t="s">
        <v>66</v>
      </c>
      <c r="AP23" s="10" t="s">
        <v>66</v>
      </c>
      <c r="AQ23" s="10" t="s">
        <v>66</v>
      </c>
      <c r="AR23" s="10" t="s">
        <v>66</v>
      </c>
      <c r="AS23" s="10" t="s">
        <v>66</v>
      </c>
      <c r="AT23" s="10"/>
      <c r="AU23" s="10" t="s">
        <v>357</v>
      </c>
    </row>
    <row r="24" customFormat="false" ht="15" hidden="false" customHeight="false" outlineLevel="0" collapsed="false">
      <c r="A24" s="4" t="s">
        <v>358</v>
      </c>
      <c r="B24" s="10" t="s">
        <v>359</v>
      </c>
      <c r="C24" s="10" t="n">
        <v>2023</v>
      </c>
      <c r="D24" s="10" t="s">
        <v>360</v>
      </c>
      <c r="E24" s="10" t="s">
        <v>361</v>
      </c>
      <c r="F24" s="10" t="s">
        <v>60</v>
      </c>
      <c r="G24" s="10" t="s">
        <v>362</v>
      </c>
      <c r="H24" s="10" t="s">
        <v>66</v>
      </c>
      <c r="I24" s="10" t="s">
        <v>66</v>
      </c>
      <c r="J24" s="10" t="s">
        <v>61</v>
      </c>
      <c r="K24" s="10" t="s">
        <v>66</v>
      </c>
      <c r="L24" s="10" t="s">
        <v>61</v>
      </c>
      <c r="M24" s="10" t="s">
        <v>61</v>
      </c>
      <c r="N24" s="10" t="s">
        <v>20</v>
      </c>
      <c r="O24" s="10"/>
      <c r="P24" s="10"/>
      <c r="Q24" s="10" t="s">
        <v>363</v>
      </c>
      <c r="R24" s="10" t="s">
        <v>61</v>
      </c>
      <c r="S24" s="10" t="s">
        <v>364</v>
      </c>
      <c r="T24" s="10" t="n">
        <v>4</v>
      </c>
      <c r="U24" s="10" t="s">
        <v>66</v>
      </c>
      <c r="V24" s="10" t="s">
        <v>66</v>
      </c>
      <c r="W24" s="10" t="s">
        <v>65</v>
      </c>
      <c r="X24" s="10"/>
      <c r="Y24" s="10"/>
      <c r="Z24" s="11" t="str">
        <f aca="false">IF(AND(ISNUMBER(X24),ISNUMBER(Y24),X24&gt;0),1-Y24/X24,"")</f>
        <v/>
      </c>
      <c r="AA24" s="10" t="s">
        <v>202</v>
      </c>
      <c r="AB24" s="10" t="s">
        <v>193</v>
      </c>
      <c r="AC24" s="10" t="s">
        <v>61</v>
      </c>
      <c r="AD24" s="10" t="s">
        <v>66</v>
      </c>
      <c r="AE24" s="10" t="n">
        <v>99.9</v>
      </c>
      <c r="AF24" s="12" t="str">
        <f aca="false">IF(ISNUMBER(AE24),IF(AE24&gt;99,"Y","N"),"")</f>
        <v>Y</v>
      </c>
      <c r="AG24" s="10" t="s">
        <v>61</v>
      </c>
      <c r="AH24" s="10" t="s">
        <v>66</v>
      </c>
      <c r="AI24" s="10" t="s">
        <v>66</v>
      </c>
      <c r="AJ24" s="10" t="s">
        <v>61</v>
      </c>
      <c r="AK24" s="10" t="s">
        <v>61</v>
      </c>
      <c r="AL24" s="10" t="s">
        <v>61</v>
      </c>
      <c r="AM24" s="10" t="s">
        <v>61</v>
      </c>
      <c r="AN24" s="10" t="s">
        <v>66</v>
      </c>
      <c r="AO24" s="10" t="s">
        <v>66</v>
      </c>
      <c r="AP24" s="10" t="s">
        <v>66</v>
      </c>
      <c r="AQ24" s="10" t="s">
        <v>66</v>
      </c>
      <c r="AR24" s="10" t="s">
        <v>66</v>
      </c>
      <c r="AS24" s="10" t="s">
        <v>66</v>
      </c>
      <c r="AT24" s="10"/>
      <c r="AU24" s="10" t="s">
        <v>365</v>
      </c>
    </row>
    <row r="25" customFormat="false" ht="15" hidden="false" customHeight="false" outlineLevel="0" collapsed="false">
      <c r="A25" s="4" t="s">
        <v>366</v>
      </c>
      <c r="B25" s="10" t="s">
        <v>367</v>
      </c>
      <c r="C25" s="10" t="n">
        <v>2023</v>
      </c>
      <c r="D25" s="10" t="s">
        <v>368</v>
      </c>
      <c r="E25" s="10" t="s">
        <v>369</v>
      </c>
      <c r="F25" s="10" t="s">
        <v>60</v>
      </c>
      <c r="G25" s="10" t="s">
        <v>370</v>
      </c>
      <c r="H25" s="10" t="s">
        <v>66</v>
      </c>
      <c r="I25" s="10" t="s">
        <v>66</v>
      </c>
      <c r="J25" s="10" t="s">
        <v>61</v>
      </c>
      <c r="K25" s="10" t="s">
        <v>66</v>
      </c>
      <c r="L25" s="10" t="s">
        <v>66</v>
      </c>
      <c r="M25" s="10" t="s">
        <v>66</v>
      </c>
      <c r="N25" s="10" t="s">
        <v>208</v>
      </c>
      <c r="O25" s="10"/>
      <c r="P25" s="10"/>
      <c r="Q25" s="10" t="s">
        <v>371</v>
      </c>
      <c r="R25" s="10" t="s">
        <v>61</v>
      </c>
      <c r="S25" s="10" t="s">
        <v>64</v>
      </c>
      <c r="T25" s="10" t="n">
        <v>1</v>
      </c>
      <c r="U25" s="10" t="s">
        <v>66</v>
      </c>
      <c r="V25" s="10" t="s">
        <v>66</v>
      </c>
      <c r="W25" s="10" t="s">
        <v>65</v>
      </c>
      <c r="X25" s="10"/>
      <c r="Y25" s="10"/>
      <c r="Z25" s="11" t="str">
        <f aca="false">IF(AND(ISNUMBER(X25),ISNUMBER(Y25),X25&gt;0),1-Y25/X25,"")</f>
        <v/>
      </c>
      <c r="AA25" s="10" t="s">
        <v>192</v>
      </c>
      <c r="AB25" s="10" t="s">
        <v>193</v>
      </c>
      <c r="AC25" s="10" t="s">
        <v>66</v>
      </c>
      <c r="AD25" s="10" t="s">
        <v>61</v>
      </c>
      <c r="AE25" s="10"/>
      <c r="AF25" s="12" t="str">
        <f aca="false">IF(ISNUMBER(AE25),IF(AE25&gt;99,"Y","N"),"")</f>
        <v/>
      </c>
      <c r="AG25" s="10" t="s">
        <v>66</v>
      </c>
      <c r="AH25" s="10" t="s">
        <v>66</v>
      </c>
      <c r="AI25" s="10" t="s">
        <v>66</v>
      </c>
      <c r="AJ25" s="10" t="s">
        <v>66</v>
      </c>
      <c r="AK25" s="10" t="s">
        <v>66</v>
      </c>
      <c r="AL25" s="10" t="s">
        <v>66</v>
      </c>
      <c r="AM25" s="10" t="s">
        <v>66</v>
      </c>
      <c r="AN25" s="10" t="s">
        <v>66</v>
      </c>
      <c r="AO25" s="10" t="s">
        <v>66</v>
      </c>
      <c r="AP25" s="10" t="s">
        <v>66</v>
      </c>
      <c r="AQ25" s="10" t="s">
        <v>66</v>
      </c>
      <c r="AR25" s="10" t="s">
        <v>66</v>
      </c>
      <c r="AS25" s="10" t="s">
        <v>66</v>
      </c>
      <c r="AT25" s="10"/>
      <c r="AU25" s="10" t="s">
        <v>372</v>
      </c>
    </row>
    <row r="26" customFormat="false" ht="15" hidden="false" customHeight="false" outlineLevel="0" collapsed="false">
      <c r="A26" s="4" t="s">
        <v>373</v>
      </c>
      <c r="B26" s="10" t="s">
        <v>374</v>
      </c>
      <c r="C26" s="10" t="n">
        <v>2023</v>
      </c>
      <c r="D26" s="10" t="s">
        <v>375</v>
      </c>
      <c r="E26" s="10" t="s">
        <v>376</v>
      </c>
      <c r="F26" s="10" t="s">
        <v>60</v>
      </c>
      <c r="G26" s="10" t="s">
        <v>377</v>
      </c>
      <c r="H26" s="10" t="s">
        <v>61</v>
      </c>
      <c r="I26" s="10" t="s">
        <v>66</v>
      </c>
      <c r="J26" s="10" t="s">
        <v>66</v>
      </c>
      <c r="K26" s="10" t="s">
        <v>61</v>
      </c>
      <c r="L26" s="10" t="s">
        <v>66</v>
      </c>
      <c r="M26" s="10" t="s">
        <v>61</v>
      </c>
      <c r="N26" s="10" t="s">
        <v>19</v>
      </c>
      <c r="O26" s="10"/>
      <c r="P26" s="10"/>
      <c r="Q26" s="10" t="s">
        <v>378</v>
      </c>
      <c r="R26" s="10" t="s">
        <v>61</v>
      </c>
      <c r="S26" s="10" t="s">
        <v>379</v>
      </c>
      <c r="T26" s="10" t="n">
        <v>3</v>
      </c>
      <c r="U26" s="10" t="s">
        <v>61</v>
      </c>
      <c r="V26" s="10" t="s">
        <v>66</v>
      </c>
      <c r="W26" s="10" t="s">
        <v>241</v>
      </c>
      <c r="X26" s="10"/>
      <c r="Y26" s="10"/>
      <c r="Z26" s="11" t="str">
        <f aca="false">IF(AND(ISNUMBER(X26),ISNUMBER(Y26),X26&gt;0),1-Y26/X26,"")</f>
        <v/>
      </c>
      <c r="AA26" s="10" t="s">
        <v>202</v>
      </c>
      <c r="AB26" s="10" t="s">
        <v>193</v>
      </c>
      <c r="AC26" s="10" t="s">
        <v>61</v>
      </c>
      <c r="AD26" s="10" t="s">
        <v>61</v>
      </c>
      <c r="AE26" s="10" t="n">
        <v>97</v>
      </c>
      <c r="AF26" s="12" t="str">
        <f aca="false">IF(ISNUMBER(AE26),IF(AE26&gt;99,"Y","N"),"")</f>
        <v>N</v>
      </c>
      <c r="AG26" s="10" t="s">
        <v>66</v>
      </c>
      <c r="AH26" s="10" t="s">
        <v>66</v>
      </c>
      <c r="AI26" s="10" t="s">
        <v>66</v>
      </c>
      <c r="AJ26" s="10" t="s">
        <v>61</v>
      </c>
      <c r="AK26" s="10" t="s">
        <v>61</v>
      </c>
      <c r="AL26" s="10" t="s">
        <v>66</v>
      </c>
      <c r="AM26" s="10" t="s">
        <v>66</v>
      </c>
      <c r="AN26" s="10" t="s">
        <v>66</v>
      </c>
      <c r="AO26" s="10" t="s">
        <v>66</v>
      </c>
      <c r="AP26" s="10" t="s">
        <v>66</v>
      </c>
      <c r="AQ26" s="10" t="s">
        <v>61</v>
      </c>
      <c r="AR26" s="10" t="s">
        <v>66</v>
      </c>
      <c r="AS26" s="10" t="s">
        <v>66</v>
      </c>
      <c r="AT26" s="10"/>
      <c r="AU26" s="10" t="s">
        <v>380</v>
      </c>
    </row>
    <row r="27" customFormat="false" ht="15" hidden="false" customHeight="false" outlineLevel="0" collapsed="false">
      <c r="A27" s="4" t="s">
        <v>381</v>
      </c>
      <c r="B27" s="10" t="s">
        <v>382</v>
      </c>
      <c r="C27" s="10" t="n">
        <v>2023</v>
      </c>
      <c r="D27" s="10" t="s">
        <v>383</v>
      </c>
      <c r="E27" s="10" t="s">
        <v>384</v>
      </c>
      <c r="F27" s="10" t="s">
        <v>60</v>
      </c>
      <c r="G27" s="10" t="s">
        <v>385</v>
      </c>
      <c r="H27" s="10" t="s">
        <v>66</v>
      </c>
      <c r="I27" s="10" t="s">
        <v>66</v>
      </c>
      <c r="J27" s="10" t="s">
        <v>66</v>
      </c>
      <c r="K27" s="10" t="s">
        <v>66</v>
      </c>
      <c r="L27" s="10" t="s">
        <v>66</v>
      </c>
      <c r="M27" s="10" t="s">
        <v>61</v>
      </c>
      <c r="N27" s="10" t="s">
        <v>279</v>
      </c>
      <c r="O27" s="10"/>
      <c r="P27" s="10"/>
      <c r="Q27" s="10" t="s">
        <v>386</v>
      </c>
      <c r="R27" s="10" t="s">
        <v>61</v>
      </c>
      <c r="S27" s="10" t="s">
        <v>387</v>
      </c>
      <c r="T27" s="10" t="n">
        <v>1</v>
      </c>
      <c r="U27" s="10" t="s">
        <v>66</v>
      </c>
      <c r="V27" s="10" t="s">
        <v>66</v>
      </c>
      <c r="W27" s="10" t="s">
        <v>201</v>
      </c>
      <c r="X27" s="10" t="n">
        <v>100</v>
      </c>
      <c r="Y27" s="10" t="n">
        <v>1</v>
      </c>
      <c r="Z27" s="11" t="n">
        <f aca="false">IF(AND(ISNUMBER(X27),ISNUMBER(Y27),X27&gt;0),1-Y27/X27,"")</f>
        <v>0.99</v>
      </c>
      <c r="AA27" s="10" t="s">
        <v>192</v>
      </c>
      <c r="AB27" s="10" t="s">
        <v>193</v>
      </c>
      <c r="AC27" s="10" t="s">
        <v>66</v>
      </c>
      <c r="AD27" s="10" t="s">
        <v>66</v>
      </c>
      <c r="AE27" s="10" t="n">
        <v>98.69</v>
      </c>
      <c r="AF27" s="12" t="str">
        <f aca="false">IF(ISNUMBER(AE27),IF(AE27&gt;99,"Y","N"),"")</f>
        <v>N</v>
      </c>
      <c r="AG27" s="10" t="s">
        <v>61</v>
      </c>
      <c r="AH27" s="10" t="s">
        <v>66</v>
      </c>
      <c r="AI27" s="10" t="s">
        <v>66</v>
      </c>
      <c r="AJ27" s="10" t="s">
        <v>61</v>
      </c>
      <c r="AK27" s="10" t="s">
        <v>66</v>
      </c>
      <c r="AL27" s="10" t="s">
        <v>66</v>
      </c>
      <c r="AM27" s="10" t="s">
        <v>66</v>
      </c>
      <c r="AN27" s="10" t="s">
        <v>66</v>
      </c>
      <c r="AO27" s="10" t="s">
        <v>66</v>
      </c>
      <c r="AP27" s="10" t="s">
        <v>66</v>
      </c>
      <c r="AQ27" s="10" t="s">
        <v>66</v>
      </c>
      <c r="AR27" s="10" t="s">
        <v>66</v>
      </c>
      <c r="AS27" s="10" t="s">
        <v>66</v>
      </c>
      <c r="AT27" s="10"/>
      <c r="AU27" s="10" t="s">
        <v>388</v>
      </c>
    </row>
    <row r="28" customFormat="false" ht="15" hidden="false" customHeight="false" outlineLevel="0" collapsed="false">
      <c r="A28" s="4" t="s">
        <v>389</v>
      </c>
      <c r="B28" s="10" t="s">
        <v>390</v>
      </c>
      <c r="C28" s="10" t="n">
        <v>2023</v>
      </c>
      <c r="D28" s="10" t="s">
        <v>391</v>
      </c>
      <c r="E28" s="10" t="s">
        <v>392</v>
      </c>
      <c r="F28" s="10" t="s">
        <v>60</v>
      </c>
      <c r="G28" s="10"/>
      <c r="H28" s="10" t="s">
        <v>61</v>
      </c>
      <c r="I28" s="10" t="s">
        <v>66</v>
      </c>
      <c r="J28" s="10" t="s">
        <v>66</v>
      </c>
      <c r="K28" s="10" t="s">
        <v>66</v>
      </c>
      <c r="L28" s="10" t="s">
        <v>61</v>
      </c>
      <c r="M28" s="10" t="s">
        <v>61</v>
      </c>
      <c r="N28" s="10" t="s">
        <v>20</v>
      </c>
      <c r="O28" s="10"/>
      <c r="P28" s="10"/>
      <c r="Q28" s="10" t="s">
        <v>393</v>
      </c>
      <c r="R28" s="10" t="s">
        <v>61</v>
      </c>
      <c r="S28" s="10" t="s">
        <v>394</v>
      </c>
      <c r="T28" s="10" t="n">
        <v>2</v>
      </c>
      <c r="U28" s="10" t="s">
        <v>66</v>
      </c>
      <c r="V28" s="10" t="s">
        <v>66</v>
      </c>
      <c r="W28" s="10"/>
      <c r="X28" s="10"/>
      <c r="Y28" s="10"/>
      <c r="Z28" s="11" t="str">
        <f aca="false">IF(AND(ISNUMBER(X28),ISNUMBER(Y28),X28&gt;0),1-Y28/X28,"")</f>
        <v/>
      </c>
      <c r="AA28" s="10" t="s">
        <v>192</v>
      </c>
      <c r="AB28" s="10" t="s">
        <v>193</v>
      </c>
      <c r="AC28" s="10" t="s">
        <v>66</v>
      </c>
      <c r="AD28" s="10" t="s">
        <v>66</v>
      </c>
      <c r="AE28" s="10" t="n">
        <v>98.12</v>
      </c>
      <c r="AF28" s="12" t="str">
        <f aca="false">IF(ISNUMBER(AE28),IF(AE28&gt;99,"Y","N"),"")</f>
        <v>N</v>
      </c>
      <c r="AG28" s="10" t="s">
        <v>61</v>
      </c>
      <c r="AH28" s="10" t="s">
        <v>66</v>
      </c>
      <c r="AI28" s="10" t="s">
        <v>66</v>
      </c>
      <c r="AJ28" s="10" t="s">
        <v>66</v>
      </c>
      <c r="AK28" s="10" t="s">
        <v>66</v>
      </c>
      <c r="AL28" s="10" t="s">
        <v>66</v>
      </c>
      <c r="AM28" s="10" t="s">
        <v>66</v>
      </c>
      <c r="AN28" s="10" t="s">
        <v>66</v>
      </c>
      <c r="AO28" s="10" t="s">
        <v>66</v>
      </c>
      <c r="AP28" s="10" t="s">
        <v>66</v>
      </c>
      <c r="AQ28" s="10" t="s">
        <v>66</v>
      </c>
      <c r="AR28" s="10" t="s">
        <v>66</v>
      </c>
      <c r="AS28" s="10" t="s">
        <v>66</v>
      </c>
      <c r="AT28" s="10"/>
      <c r="AU28" s="10" t="s">
        <v>395</v>
      </c>
    </row>
    <row r="29" customFormat="false" ht="15" hidden="false" customHeight="false" outlineLevel="0" collapsed="false">
      <c r="A29" s="4" t="s">
        <v>396</v>
      </c>
      <c r="B29" s="10" t="s">
        <v>397</v>
      </c>
      <c r="C29" s="10" t="n">
        <v>2023</v>
      </c>
      <c r="D29" s="10" t="s">
        <v>398</v>
      </c>
      <c r="E29" s="10" t="s">
        <v>331</v>
      </c>
      <c r="F29" s="10" t="s">
        <v>60</v>
      </c>
      <c r="G29" s="10" t="s">
        <v>399</v>
      </c>
      <c r="H29" s="10" t="s">
        <v>61</v>
      </c>
      <c r="I29" s="10" t="s">
        <v>66</v>
      </c>
      <c r="J29" s="10" t="s">
        <v>61</v>
      </c>
      <c r="K29" s="10" t="s">
        <v>66</v>
      </c>
      <c r="L29" s="10" t="s">
        <v>66</v>
      </c>
      <c r="M29" s="10" t="s">
        <v>61</v>
      </c>
      <c r="N29" s="10" t="s">
        <v>208</v>
      </c>
      <c r="O29" s="10"/>
      <c r="P29" s="10"/>
      <c r="Q29" s="10" t="s">
        <v>400</v>
      </c>
      <c r="R29" s="10" t="s">
        <v>61</v>
      </c>
      <c r="S29" s="10" t="s">
        <v>64</v>
      </c>
      <c r="T29" s="10" t="n">
        <v>1</v>
      </c>
      <c r="U29" s="10" t="s">
        <v>66</v>
      </c>
      <c r="V29" s="10" t="s">
        <v>66</v>
      </c>
      <c r="W29" s="10" t="s">
        <v>241</v>
      </c>
      <c r="X29" s="10"/>
      <c r="Y29" s="10"/>
      <c r="Z29" s="11" t="str">
        <f aca="false">IF(AND(ISNUMBER(X29),ISNUMBER(Y29),X29&gt;0),1-Y29/X29,"")</f>
        <v/>
      </c>
      <c r="AA29" s="10" t="s">
        <v>202</v>
      </c>
      <c r="AB29" s="10" t="s">
        <v>193</v>
      </c>
      <c r="AC29" s="10" t="s">
        <v>66</v>
      </c>
      <c r="AD29" s="10" t="s">
        <v>66</v>
      </c>
      <c r="AE29" s="10"/>
      <c r="AF29" s="12" t="str">
        <f aca="false">IF(ISNUMBER(AE29),IF(AE29&gt;99,"Y","N"),"")</f>
        <v/>
      </c>
      <c r="AG29" s="10" t="s">
        <v>66</v>
      </c>
      <c r="AH29" s="10" t="s">
        <v>61</v>
      </c>
      <c r="AI29" s="10" t="s">
        <v>66</v>
      </c>
      <c r="AJ29" s="10" t="s">
        <v>61</v>
      </c>
      <c r="AK29" s="10" t="s">
        <v>66</v>
      </c>
      <c r="AL29" s="10" t="s">
        <v>66</v>
      </c>
      <c r="AM29" s="10" t="s">
        <v>66</v>
      </c>
      <c r="AN29" s="10" t="s">
        <v>66</v>
      </c>
      <c r="AO29" s="10" t="s">
        <v>66</v>
      </c>
      <c r="AP29" s="10" t="s">
        <v>66</v>
      </c>
      <c r="AQ29" s="10" t="s">
        <v>66</v>
      </c>
      <c r="AR29" s="10" t="s">
        <v>66</v>
      </c>
      <c r="AS29" s="10" t="s">
        <v>66</v>
      </c>
      <c r="AT29" s="10"/>
      <c r="AU29" s="10" t="s">
        <v>401</v>
      </c>
    </row>
    <row r="30" customFormat="false" ht="15" hidden="false" customHeight="false" outlineLevel="0" collapsed="false">
      <c r="A30" s="4" t="s">
        <v>402</v>
      </c>
      <c r="B30" s="10" t="s">
        <v>403</v>
      </c>
      <c r="C30" s="10" t="n">
        <v>2023</v>
      </c>
      <c r="D30" s="10" t="s">
        <v>404</v>
      </c>
      <c r="E30" s="10" t="s">
        <v>405</v>
      </c>
      <c r="F30" s="10" t="s">
        <v>60</v>
      </c>
      <c r="G30" s="10" t="s">
        <v>406</v>
      </c>
      <c r="H30" s="10" t="s">
        <v>61</v>
      </c>
      <c r="I30" s="10" t="s">
        <v>66</v>
      </c>
      <c r="J30" s="10" t="s">
        <v>66</v>
      </c>
      <c r="K30" s="10" t="s">
        <v>66</v>
      </c>
      <c r="L30" s="10" t="s">
        <v>66</v>
      </c>
      <c r="M30" s="10" t="s">
        <v>66</v>
      </c>
      <c r="N30" s="10" t="s">
        <v>16</v>
      </c>
      <c r="O30" s="10"/>
      <c r="P30" s="10"/>
      <c r="Q30" s="10" t="s">
        <v>407</v>
      </c>
      <c r="R30" s="10" t="s">
        <v>66</v>
      </c>
      <c r="S30" s="10" t="s">
        <v>233</v>
      </c>
      <c r="T30" s="10" t="n">
        <v>2</v>
      </c>
      <c r="U30" s="10" t="s">
        <v>66</v>
      </c>
      <c r="V30" s="10" t="s">
        <v>66</v>
      </c>
      <c r="W30" s="10"/>
      <c r="X30" s="10"/>
      <c r="Y30" s="10" t="n">
        <v>4</v>
      </c>
      <c r="Z30" s="11" t="str">
        <f aca="false">IF(AND(ISNUMBER(X30),ISNUMBER(Y30),X30&gt;0),1-Y30/X30,"")</f>
        <v/>
      </c>
      <c r="AA30" s="10" t="s">
        <v>202</v>
      </c>
      <c r="AB30" s="10" t="s">
        <v>193</v>
      </c>
      <c r="AC30" s="10" t="s">
        <v>66</v>
      </c>
      <c r="AD30" s="10" t="s">
        <v>66</v>
      </c>
      <c r="AE30" s="10" t="n">
        <v>97.506</v>
      </c>
      <c r="AF30" s="12" t="str">
        <f aca="false">IF(ISNUMBER(AE30),IF(AE30&gt;99,"Y","N"),"")</f>
        <v>N</v>
      </c>
      <c r="AG30" s="10" t="s">
        <v>66</v>
      </c>
      <c r="AH30" s="10" t="s">
        <v>66</v>
      </c>
      <c r="AI30" s="10" t="s">
        <v>66</v>
      </c>
      <c r="AJ30" s="10" t="s">
        <v>66</v>
      </c>
      <c r="AK30" s="10" t="s">
        <v>61</v>
      </c>
      <c r="AL30" s="10" t="s">
        <v>66</v>
      </c>
      <c r="AM30" s="10" t="s">
        <v>66</v>
      </c>
      <c r="AN30" s="10" t="s">
        <v>66</v>
      </c>
      <c r="AO30" s="10" t="s">
        <v>66</v>
      </c>
      <c r="AP30" s="10" t="s">
        <v>66</v>
      </c>
      <c r="AQ30" s="10" t="s">
        <v>66</v>
      </c>
      <c r="AR30" s="10" t="s">
        <v>66</v>
      </c>
      <c r="AS30" s="10" t="s">
        <v>66</v>
      </c>
      <c r="AT30" s="10"/>
      <c r="AU30" s="10" t="s">
        <v>408</v>
      </c>
    </row>
    <row r="31" customFormat="false" ht="15" hidden="false" customHeight="false" outlineLevel="0" collapsed="false">
      <c r="A31" s="4" t="s">
        <v>409</v>
      </c>
      <c r="B31" s="10" t="s">
        <v>410</v>
      </c>
      <c r="C31" s="10" t="n">
        <v>2023</v>
      </c>
      <c r="D31" s="10" t="s">
        <v>411</v>
      </c>
      <c r="E31" s="10" t="s">
        <v>412</v>
      </c>
      <c r="F31" s="10" t="s">
        <v>60</v>
      </c>
      <c r="G31" s="10" t="s">
        <v>413</v>
      </c>
      <c r="H31" s="10" t="s">
        <v>66</v>
      </c>
      <c r="I31" s="10" t="s">
        <v>66</v>
      </c>
      <c r="J31" s="10" t="s">
        <v>61</v>
      </c>
      <c r="K31" s="10" t="s">
        <v>66</v>
      </c>
      <c r="L31" s="10" t="s">
        <v>66</v>
      </c>
      <c r="M31" s="10" t="s">
        <v>66</v>
      </c>
      <c r="N31" s="10" t="s">
        <v>208</v>
      </c>
      <c r="O31" s="10"/>
      <c r="P31" s="10"/>
      <c r="Q31" s="10" t="s">
        <v>414</v>
      </c>
      <c r="R31" s="10" t="s">
        <v>66</v>
      </c>
      <c r="S31" s="10" t="s">
        <v>415</v>
      </c>
      <c r="T31" s="10" t="n">
        <v>2</v>
      </c>
      <c r="U31" s="10" t="s">
        <v>66</v>
      </c>
      <c r="V31" s="10" t="s">
        <v>66</v>
      </c>
      <c r="W31" s="10" t="s">
        <v>241</v>
      </c>
      <c r="X31" s="10"/>
      <c r="Y31" s="10"/>
      <c r="Z31" s="11" t="str">
        <f aca="false">IF(AND(ISNUMBER(X31),ISNUMBER(Y31),X31&gt;0),1-Y31/X31,"")</f>
        <v/>
      </c>
      <c r="AA31" s="10" t="s">
        <v>192</v>
      </c>
      <c r="AB31" s="10" t="s">
        <v>193</v>
      </c>
      <c r="AC31" s="10" t="s">
        <v>66</v>
      </c>
      <c r="AD31" s="10" t="s">
        <v>66</v>
      </c>
      <c r="AE31" s="10" t="n">
        <v>99.8</v>
      </c>
      <c r="AF31" s="12" t="str">
        <f aca="false">IF(ISNUMBER(AE31),IF(AE31&gt;99,"Y","N"),"")</f>
        <v>Y</v>
      </c>
      <c r="AG31" s="10" t="s">
        <v>66</v>
      </c>
      <c r="AH31" s="10" t="s">
        <v>66</v>
      </c>
      <c r="AI31" s="10" t="s">
        <v>66</v>
      </c>
      <c r="AJ31" s="10" t="s">
        <v>61</v>
      </c>
      <c r="AK31" s="10" t="s">
        <v>66</v>
      </c>
      <c r="AL31" s="10" t="s">
        <v>66</v>
      </c>
      <c r="AM31" s="10" t="s">
        <v>66</v>
      </c>
      <c r="AN31" s="10" t="s">
        <v>66</v>
      </c>
      <c r="AO31" s="10" t="s">
        <v>66</v>
      </c>
      <c r="AP31" s="10" t="s">
        <v>66</v>
      </c>
      <c r="AQ31" s="10" t="s">
        <v>66</v>
      </c>
      <c r="AR31" s="10" t="s">
        <v>66</v>
      </c>
      <c r="AS31" s="10" t="s">
        <v>66</v>
      </c>
      <c r="AT31" s="10"/>
      <c r="AU31" s="10" t="s">
        <v>416</v>
      </c>
    </row>
    <row r="32" customFormat="false" ht="15" hidden="false" customHeight="false" outlineLevel="0" collapsed="false">
      <c r="A32" s="4" t="s">
        <v>417</v>
      </c>
      <c r="B32" s="10" t="s">
        <v>418</v>
      </c>
      <c r="C32" s="10" t="n">
        <v>2023</v>
      </c>
      <c r="D32" s="10" t="s">
        <v>419</v>
      </c>
      <c r="E32" s="10" t="s">
        <v>392</v>
      </c>
      <c r="F32" s="10" t="s">
        <v>60</v>
      </c>
      <c r="G32" s="10"/>
      <c r="H32" s="10" t="s">
        <v>61</v>
      </c>
      <c r="I32" s="10" t="s">
        <v>66</v>
      </c>
      <c r="J32" s="10" t="s">
        <v>61</v>
      </c>
      <c r="K32" s="10" t="s">
        <v>66</v>
      </c>
      <c r="L32" s="10" t="s">
        <v>61</v>
      </c>
      <c r="M32" s="10" t="s">
        <v>61</v>
      </c>
      <c r="N32" s="10" t="s">
        <v>208</v>
      </c>
      <c r="O32" s="10"/>
      <c r="P32" s="10"/>
      <c r="Q32" s="10" t="s">
        <v>420</v>
      </c>
      <c r="R32" s="10" t="s">
        <v>61</v>
      </c>
      <c r="S32" s="10" t="s">
        <v>394</v>
      </c>
      <c r="T32" s="10" t="n">
        <v>2</v>
      </c>
      <c r="U32" s="10" t="s">
        <v>66</v>
      </c>
      <c r="V32" s="10" t="s">
        <v>66</v>
      </c>
      <c r="W32" s="10" t="s">
        <v>65</v>
      </c>
      <c r="X32" s="10"/>
      <c r="Y32" s="10"/>
      <c r="Z32" s="11" t="str">
        <f aca="false">IF(AND(ISNUMBER(X32),ISNUMBER(Y32),X32&gt;0),1-Y32/X32,"")</f>
        <v/>
      </c>
      <c r="AA32" s="10" t="s">
        <v>192</v>
      </c>
      <c r="AB32" s="10" t="s">
        <v>193</v>
      </c>
      <c r="AC32" s="10" t="s">
        <v>66</v>
      </c>
      <c r="AD32" s="10" t="s">
        <v>66</v>
      </c>
      <c r="AE32" s="10" t="n">
        <v>92</v>
      </c>
      <c r="AF32" s="12" t="str">
        <f aca="false">IF(ISNUMBER(AE32),IF(AE32&gt;99,"Y","N"),"")</f>
        <v>N</v>
      </c>
      <c r="AG32" s="10" t="s">
        <v>61</v>
      </c>
      <c r="AH32" s="10" t="s">
        <v>66</v>
      </c>
      <c r="AI32" s="10" t="s">
        <v>66</v>
      </c>
      <c r="AJ32" s="10" t="s">
        <v>61</v>
      </c>
      <c r="AK32" s="10" t="s">
        <v>66</v>
      </c>
      <c r="AL32" s="10" t="s">
        <v>66</v>
      </c>
      <c r="AM32" s="10" t="s">
        <v>66</v>
      </c>
      <c r="AN32" s="10" t="s">
        <v>66</v>
      </c>
      <c r="AO32" s="10" t="s">
        <v>66</v>
      </c>
      <c r="AP32" s="10" t="s">
        <v>66</v>
      </c>
      <c r="AQ32" s="10" t="s">
        <v>66</v>
      </c>
      <c r="AR32" s="10" t="s">
        <v>66</v>
      </c>
      <c r="AS32" s="10" t="s">
        <v>66</v>
      </c>
      <c r="AT32" s="10"/>
      <c r="AU32" s="10" t="s">
        <v>421</v>
      </c>
    </row>
    <row r="33" customFormat="false" ht="15" hidden="false" customHeight="false" outlineLevel="0" collapsed="false">
      <c r="A33" s="4" t="s">
        <v>422</v>
      </c>
      <c r="B33" s="10" t="s">
        <v>423</v>
      </c>
      <c r="C33" s="10" t="n">
        <v>2023</v>
      </c>
      <c r="D33" s="10" t="s">
        <v>424</v>
      </c>
      <c r="E33" s="10" t="s">
        <v>425</v>
      </c>
      <c r="F33" s="10" t="s">
        <v>60</v>
      </c>
      <c r="G33" s="10" t="s">
        <v>426</v>
      </c>
      <c r="H33" s="10" t="s">
        <v>61</v>
      </c>
      <c r="I33" s="10" t="s">
        <v>66</v>
      </c>
      <c r="J33" s="10" t="s">
        <v>61</v>
      </c>
      <c r="K33" s="10" t="s">
        <v>66</v>
      </c>
      <c r="L33" s="10" t="s">
        <v>61</v>
      </c>
      <c r="M33" s="10" t="s">
        <v>61</v>
      </c>
      <c r="N33" s="10" t="s">
        <v>16</v>
      </c>
      <c r="O33" s="10"/>
      <c r="P33" s="10"/>
      <c r="Q33" s="10" t="s">
        <v>427</v>
      </c>
      <c r="R33" s="10" t="s">
        <v>61</v>
      </c>
      <c r="S33" s="10" t="s">
        <v>64</v>
      </c>
      <c r="T33" s="10" t="n">
        <v>1</v>
      </c>
      <c r="U33" s="10" t="s">
        <v>66</v>
      </c>
      <c r="V33" s="10" t="s">
        <v>66</v>
      </c>
      <c r="W33" s="10" t="s">
        <v>65</v>
      </c>
      <c r="X33" s="10"/>
      <c r="Y33" s="10"/>
      <c r="Z33" s="11" t="str">
        <f aca="false">IF(AND(ISNUMBER(X33),ISNUMBER(Y33),X33&gt;0),1-Y33/X33,"")</f>
        <v/>
      </c>
      <c r="AA33" s="10" t="s">
        <v>192</v>
      </c>
      <c r="AB33" s="10" t="s">
        <v>193</v>
      </c>
      <c r="AC33" s="10" t="s">
        <v>66</v>
      </c>
      <c r="AD33" s="10" t="s">
        <v>61</v>
      </c>
      <c r="AE33" s="10"/>
      <c r="AF33" s="12" t="str">
        <f aca="false">IF(ISNUMBER(AE33),IF(AE33&gt;99,"Y","N"),"")</f>
        <v/>
      </c>
      <c r="AG33" s="10" t="s">
        <v>66</v>
      </c>
      <c r="AH33" s="10" t="s">
        <v>61</v>
      </c>
      <c r="AI33" s="10" t="s">
        <v>66</v>
      </c>
      <c r="AJ33" s="10" t="s">
        <v>61</v>
      </c>
      <c r="AK33" s="10" t="s">
        <v>61</v>
      </c>
      <c r="AL33" s="10" t="s">
        <v>66</v>
      </c>
      <c r="AM33" s="10" t="s">
        <v>66</v>
      </c>
      <c r="AN33" s="10" t="s">
        <v>66</v>
      </c>
      <c r="AO33" s="10" t="s">
        <v>66</v>
      </c>
      <c r="AP33" s="10" t="s">
        <v>66</v>
      </c>
      <c r="AQ33" s="10" t="s">
        <v>66</v>
      </c>
      <c r="AR33" s="10" t="s">
        <v>66</v>
      </c>
      <c r="AS33" s="10" t="s">
        <v>66</v>
      </c>
      <c r="AT33" s="10"/>
      <c r="AU33" s="10" t="s">
        <v>428</v>
      </c>
    </row>
    <row r="34" customFormat="false" ht="15" hidden="false" customHeight="false" outlineLevel="0" collapsed="false">
      <c r="A34" s="4" t="s">
        <v>429</v>
      </c>
      <c r="B34" s="10" t="s">
        <v>430</v>
      </c>
      <c r="C34" s="10" t="n">
        <v>2023</v>
      </c>
      <c r="D34" s="10" t="s">
        <v>431</v>
      </c>
      <c r="E34" s="10" t="s">
        <v>432</v>
      </c>
      <c r="F34" s="10" t="s">
        <v>60</v>
      </c>
      <c r="G34" s="10" t="s">
        <v>433</v>
      </c>
      <c r="H34" s="10" t="s">
        <v>66</v>
      </c>
      <c r="I34" s="10" t="s">
        <v>66</v>
      </c>
      <c r="J34" s="10" t="s">
        <v>61</v>
      </c>
      <c r="K34" s="10" t="s">
        <v>61</v>
      </c>
      <c r="L34" s="10" t="s">
        <v>66</v>
      </c>
      <c r="M34" s="10" t="s">
        <v>66</v>
      </c>
      <c r="N34" s="10" t="s">
        <v>208</v>
      </c>
      <c r="O34" s="10"/>
      <c r="P34" s="10"/>
      <c r="Q34" s="10" t="s">
        <v>434</v>
      </c>
      <c r="R34" s="10" t="s">
        <v>61</v>
      </c>
      <c r="S34" s="10" t="s">
        <v>394</v>
      </c>
      <c r="T34" s="10" t="n">
        <v>2</v>
      </c>
      <c r="U34" s="10" t="s">
        <v>66</v>
      </c>
      <c r="V34" s="10" t="s">
        <v>66</v>
      </c>
      <c r="W34" s="10" t="s">
        <v>65</v>
      </c>
      <c r="X34" s="10"/>
      <c r="Y34" s="10"/>
      <c r="Z34" s="11" t="str">
        <f aca="false">IF(AND(ISNUMBER(X34),ISNUMBER(Y34),X34&gt;0),1-Y34/X34,"")</f>
        <v/>
      </c>
      <c r="AA34" s="10" t="s">
        <v>192</v>
      </c>
      <c r="AB34" s="10" t="s">
        <v>193</v>
      </c>
      <c r="AC34" s="10" t="s">
        <v>66</v>
      </c>
      <c r="AD34" s="10" t="s">
        <v>66</v>
      </c>
      <c r="AE34" s="10" t="n">
        <v>97.2</v>
      </c>
      <c r="AF34" s="12" t="str">
        <f aca="false">IF(ISNUMBER(AE34),IF(AE34&gt;99,"Y","N"),"")</f>
        <v>N</v>
      </c>
      <c r="AG34" s="10" t="s">
        <v>66</v>
      </c>
      <c r="AH34" s="10" t="s">
        <v>61</v>
      </c>
      <c r="AI34" s="10" t="s">
        <v>66</v>
      </c>
      <c r="AJ34" s="10" t="s">
        <v>66</v>
      </c>
      <c r="AK34" s="10" t="s">
        <v>66</v>
      </c>
      <c r="AL34" s="10" t="s">
        <v>66</v>
      </c>
      <c r="AM34" s="10" t="s">
        <v>66</v>
      </c>
      <c r="AN34" s="10" t="s">
        <v>66</v>
      </c>
      <c r="AO34" s="10" t="s">
        <v>66</v>
      </c>
      <c r="AP34" s="10" t="s">
        <v>66</v>
      </c>
      <c r="AQ34" s="10" t="s">
        <v>66</v>
      </c>
      <c r="AR34" s="10" t="s">
        <v>66</v>
      </c>
      <c r="AS34" s="10" t="s">
        <v>66</v>
      </c>
      <c r="AT34" s="10"/>
      <c r="AU34" s="10" t="s">
        <v>435</v>
      </c>
    </row>
    <row r="35" customFormat="false" ht="15" hidden="false" customHeight="false" outlineLevel="0" collapsed="false">
      <c r="A35" s="4" t="s">
        <v>436</v>
      </c>
      <c r="B35" s="10"/>
      <c r="C35" s="10" t="n">
        <v>2023</v>
      </c>
      <c r="D35" s="10" t="s">
        <v>437</v>
      </c>
      <c r="E35" s="10" t="s">
        <v>438</v>
      </c>
      <c r="F35" s="10" t="s">
        <v>60</v>
      </c>
      <c r="G35" s="10" t="s">
        <v>439</v>
      </c>
      <c r="H35" s="10" t="s">
        <v>66</v>
      </c>
      <c r="I35" s="10" t="s">
        <v>66</v>
      </c>
      <c r="J35" s="10" t="s">
        <v>61</v>
      </c>
      <c r="K35" s="10" t="s">
        <v>66</v>
      </c>
      <c r="L35" s="10" t="s">
        <v>66</v>
      </c>
      <c r="M35" s="10" t="s">
        <v>66</v>
      </c>
      <c r="N35" s="10" t="s">
        <v>208</v>
      </c>
      <c r="O35" s="10"/>
      <c r="P35" s="10"/>
      <c r="Q35" s="10" t="s">
        <v>440</v>
      </c>
      <c r="R35" s="10" t="s">
        <v>61</v>
      </c>
      <c r="S35" s="10" t="s">
        <v>210</v>
      </c>
      <c r="T35" s="10" t="n">
        <v>1</v>
      </c>
      <c r="U35" s="10" t="s">
        <v>61</v>
      </c>
      <c r="V35" s="10" t="s">
        <v>66</v>
      </c>
      <c r="W35" s="10"/>
      <c r="X35" s="10"/>
      <c r="Y35" s="10"/>
      <c r="Z35" s="11" t="str">
        <f aca="false">IF(AND(ISNUMBER(X35),ISNUMBER(Y35),X35&gt;0),1-Y35/X35,"")</f>
        <v/>
      </c>
      <c r="AA35" s="10" t="s">
        <v>192</v>
      </c>
      <c r="AB35" s="10" t="s">
        <v>193</v>
      </c>
      <c r="AC35" s="10" t="s">
        <v>66</v>
      </c>
      <c r="AD35" s="10" t="s">
        <v>66</v>
      </c>
      <c r="AE35" s="10"/>
      <c r="AF35" s="12" t="str">
        <f aca="false">IF(ISNUMBER(AE35),IF(AE35&gt;99,"Y","N"),"")</f>
        <v/>
      </c>
      <c r="AG35" s="10" t="s">
        <v>66</v>
      </c>
      <c r="AH35" s="10" t="s">
        <v>66</v>
      </c>
      <c r="AI35" s="10" t="s">
        <v>66</v>
      </c>
      <c r="AJ35" s="10" t="s">
        <v>61</v>
      </c>
      <c r="AK35" s="10" t="s">
        <v>66</v>
      </c>
      <c r="AL35" s="10" t="s">
        <v>66</v>
      </c>
      <c r="AM35" s="10" t="s">
        <v>66</v>
      </c>
      <c r="AN35" s="10" t="s">
        <v>66</v>
      </c>
      <c r="AO35" s="10" t="s">
        <v>66</v>
      </c>
      <c r="AP35" s="10" t="s">
        <v>66</v>
      </c>
      <c r="AQ35" s="10" t="s">
        <v>66</v>
      </c>
      <c r="AR35" s="10" t="s">
        <v>66</v>
      </c>
      <c r="AS35" s="10" t="s">
        <v>66</v>
      </c>
      <c r="AT35" s="10"/>
      <c r="AU35" s="10" t="s">
        <v>441</v>
      </c>
    </row>
    <row r="36" customFormat="false" ht="15" hidden="false" customHeight="false" outlineLevel="0" collapsed="false">
      <c r="A36" s="4" t="s">
        <v>442</v>
      </c>
      <c r="B36" s="10" t="s">
        <v>443</v>
      </c>
      <c r="C36" s="10" t="n">
        <v>2023</v>
      </c>
      <c r="D36" s="10" t="s">
        <v>444</v>
      </c>
      <c r="E36" s="10" t="s">
        <v>445</v>
      </c>
      <c r="F36" s="10" t="s">
        <v>60</v>
      </c>
      <c r="G36" s="10" t="s">
        <v>446</v>
      </c>
      <c r="H36" s="10" t="s">
        <v>66</v>
      </c>
      <c r="I36" s="10" t="s">
        <v>66</v>
      </c>
      <c r="J36" s="10" t="s">
        <v>66</v>
      </c>
      <c r="K36" s="10" t="s">
        <v>61</v>
      </c>
      <c r="L36" s="10" t="s">
        <v>66</v>
      </c>
      <c r="M36" s="10" t="s">
        <v>61</v>
      </c>
      <c r="N36" s="10" t="s">
        <v>19</v>
      </c>
      <c r="O36" s="10"/>
      <c r="P36" s="10"/>
      <c r="Q36" s="10" t="s">
        <v>447</v>
      </c>
      <c r="R36" s="10" t="s">
        <v>66</v>
      </c>
      <c r="S36" s="10" t="s">
        <v>265</v>
      </c>
      <c r="T36" s="10" t="n">
        <v>2</v>
      </c>
      <c r="U36" s="10" t="s">
        <v>66</v>
      </c>
      <c r="V36" s="10" t="s">
        <v>66</v>
      </c>
      <c r="W36" s="10" t="s">
        <v>201</v>
      </c>
      <c r="X36" s="10"/>
      <c r="Y36" s="10"/>
      <c r="Z36" s="11" t="str">
        <f aca="false">IF(AND(ISNUMBER(X36),ISNUMBER(Y36),X36&gt;0),1-Y36/X36,"")</f>
        <v/>
      </c>
      <c r="AA36" s="10" t="s">
        <v>202</v>
      </c>
      <c r="AB36" s="10" t="s">
        <v>193</v>
      </c>
      <c r="AC36" s="10" t="s">
        <v>66</v>
      </c>
      <c r="AD36" s="10" t="s">
        <v>66</v>
      </c>
      <c r="AE36" s="10"/>
      <c r="AF36" s="12" t="str">
        <f aca="false">IF(ISNUMBER(AE36),IF(AE36&gt;99,"Y","N"),"")</f>
        <v/>
      </c>
      <c r="AG36" s="10" t="s">
        <v>66</v>
      </c>
      <c r="AH36" s="10" t="s">
        <v>66</v>
      </c>
      <c r="AI36" s="10" t="s">
        <v>66</v>
      </c>
      <c r="AJ36" s="10" t="s">
        <v>66</v>
      </c>
      <c r="AK36" s="10" t="s">
        <v>66</v>
      </c>
      <c r="AL36" s="10" t="s">
        <v>66</v>
      </c>
      <c r="AM36" s="10" t="s">
        <v>66</v>
      </c>
      <c r="AN36" s="10" t="s">
        <v>66</v>
      </c>
      <c r="AO36" s="10" t="s">
        <v>66</v>
      </c>
      <c r="AP36" s="10" t="s">
        <v>66</v>
      </c>
      <c r="AQ36" s="10" t="s">
        <v>66</v>
      </c>
      <c r="AR36" s="10" t="s">
        <v>66</v>
      </c>
      <c r="AS36" s="10" t="s">
        <v>66</v>
      </c>
      <c r="AT36" s="10"/>
      <c r="AU36" s="10" t="s">
        <v>448</v>
      </c>
    </row>
    <row r="37" customFormat="false" ht="15" hidden="false" customHeight="false" outlineLevel="0" collapsed="false">
      <c r="A37" s="4" t="s">
        <v>449</v>
      </c>
      <c r="B37" s="10" t="s">
        <v>450</v>
      </c>
      <c r="C37" s="10" t="n">
        <v>2024</v>
      </c>
      <c r="D37" s="10" t="s">
        <v>451</v>
      </c>
      <c r="E37" s="10" t="s">
        <v>392</v>
      </c>
      <c r="F37" s="10" t="s">
        <v>60</v>
      </c>
      <c r="G37" s="10"/>
      <c r="H37" s="10" t="s">
        <v>61</v>
      </c>
      <c r="I37" s="10" t="s">
        <v>61</v>
      </c>
      <c r="J37" s="10" t="s">
        <v>66</v>
      </c>
      <c r="K37" s="10" t="s">
        <v>61</v>
      </c>
      <c r="L37" s="10" t="s">
        <v>66</v>
      </c>
      <c r="M37" s="10" t="s">
        <v>66</v>
      </c>
      <c r="N37" s="10" t="s">
        <v>20</v>
      </c>
      <c r="O37" s="10"/>
      <c r="P37" s="10"/>
      <c r="Q37" s="10" t="s">
        <v>452</v>
      </c>
      <c r="R37" s="10" t="s">
        <v>61</v>
      </c>
      <c r="S37" s="10" t="s">
        <v>296</v>
      </c>
      <c r="T37" s="10" t="n">
        <v>1</v>
      </c>
      <c r="U37" s="10" t="s">
        <v>66</v>
      </c>
      <c r="V37" s="10" t="s">
        <v>66</v>
      </c>
      <c r="W37" s="10" t="s">
        <v>201</v>
      </c>
      <c r="X37" s="10"/>
      <c r="Y37" s="10" t="n">
        <v>16</v>
      </c>
      <c r="Z37" s="11" t="str">
        <f aca="false">IF(AND(ISNUMBER(X37),ISNUMBER(Y37),X37&gt;0),1-Y37/X37,"")</f>
        <v/>
      </c>
      <c r="AA37" s="10" t="s">
        <v>356</v>
      </c>
      <c r="AB37" s="10" t="s">
        <v>193</v>
      </c>
      <c r="AC37" s="10" t="s">
        <v>66</v>
      </c>
      <c r="AD37" s="10" t="s">
        <v>61</v>
      </c>
      <c r="AE37" s="10" t="n">
        <v>99.8</v>
      </c>
      <c r="AF37" s="12" t="str">
        <f aca="false">IF(ISNUMBER(AE37),IF(AE37&gt;99,"Y","N"),"")</f>
        <v>Y</v>
      </c>
      <c r="AG37" s="10" t="s">
        <v>61</v>
      </c>
      <c r="AH37" s="10" t="s">
        <v>66</v>
      </c>
      <c r="AI37" s="10" t="s">
        <v>66</v>
      </c>
      <c r="AJ37" s="10" t="s">
        <v>66</v>
      </c>
      <c r="AK37" s="10" t="s">
        <v>66</v>
      </c>
      <c r="AL37" s="10" t="s">
        <v>66</v>
      </c>
      <c r="AM37" s="10" t="s">
        <v>66</v>
      </c>
      <c r="AN37" s="10" t="s">
        <v>66</v>
      </c>
      <c r="AO37" s="10" t="s">
        <v>66</v>
      </c>
      <c r="AP37" s="10" t="s">
        <v>66</v>
      </c>
      <c r="AQ37" s="10" t="s">
        <v>66</v>
      </c>
      <c r="AR37" s="10" t="s">
        <v>66</v>
      </c>
      <c r="AS37" s="10" t="s">
        <v>66</v>
      </c>
      <c r="AT37" s="10"/>
      <c r="AU37" s="10" t="s">
        <v>453</v>
      </c>
    </row>
    <row r="38" customFormat="false" ht="15" hidden="false" customHeight="false" outlineLevel="0" collapsed="false">
      <c r="A38" s="4" t="s">
        <v>454</v>
      </c>
      <c r="B38" s="10" t="s">
        <v>455</v>
      </c>
      <c r="C38" s="10" t="n">
        <v>2024</v>
      </c>
      <c r="D38" s="10" t="s">
        <v>456</v>
      </c>
      <c r="E38" s="10" t="s">
        <v>457</v>
      </c>
      <c r="F38" s="10" t="s">
        <v>60</v>
      </c>
      <c r="G38" s="10" t="s">
        <v>458</v>
      </c>
      <c r="H38" s="10" t="s">
        <v>66</v>
      </c>
      <c r="I38" s="10" t="s">
        <v>66</v>
      </c>
      <c r="J38" s="10" t="s">
        <v>61</v>
      </c>
      <c r="K38" s="10" t="s">
        <v>66</v>
      </c>
      <c r="L38" s="10" t="s">
        <v>66</v>
      </c>
      <c r="M38" s="10" t="s">
        <v>61</v>
      </c>
      <c r="N38" s="10" t="s">
        <v>20</v>
      </c>
      <c r="O38" s="10"/>
      <c r="P38" s="10"/>
      <c r="Q38" s="10" t="s">
        <v>459</v>
      </c>
      <c r="R38" s="10" t="s">
        <v>61</v>
      </c>
      <c r="S38" s="10" t="s">
        <v>415</v>
      </c>
      <c r="T38" s="10" t="n">
        <v>2</v>
      </c>
      <c r="U38" s="10" t="s">
        <v>66</v>
      </c>
      <c r="V38" s="10" t="s">
        <v>66</v>
      </c>
      <c r="W38" s="10" t="s">
        <v>241</v>
      </c>
      <c r="X38" s="10" t="n">
        <v>84</v>
      </c>
      <c r="Y38" s="10" t="n">
        <v>34</v>
      </c>
      <c r="Z38" s="11" t="n">
        <f aca="false">IF(AND(ISNUMBER(X38),ISNUMBER(Y38),X38&gt;0),1-Y38/X38,"")</f>
        <v>0.595238095238095</v>
      </c>
      <c r="AA38" s="10" t="s">
        <v>202</v>
      </c>
      <c r="AB38" s="10" t="s">
        <v>193</v>
      </c>
      <c r="AC38" s="10" t="s">
        <v>66</v>
      </c>
      <c r="AD38" s="10" t="s">
        <v>66</v>
      </c>
      <c r="AE38" s="10" t="n">
        <v>99.97</v>
      </c>
      <c r="AF38" s="12" t="str">
        <f aca="false">IF(ISNUMBER(AE38),IF(AE38&gt;99,"Y","N"),"")</f>
        <v>Y</v>
      </c>
      <c r="AG38" s="10" t="s">
        <v>61</v>
      </c>
      <c r="AH38" s="10" t="s">
        <v>61</v>
      </c>
      <c r="AI38" s="10" t="s">
        <v>66</v>
      </c>
      <c r="AJ38" s="10" t="s">
        <v>61</v>
      </c>
      <c r="AK38" s="10" t="s">
        <v>66</v>
      </c>
      <c r="AL38" s="10" t="s">
        <v>66</v>
      </c>
      <c r="AM38" s="10" t="s">
        <v>66</v>
      </c>
      <c r="AN38" s="10" t="s">
        <v>66</v>
      </c>
      <c r="AO38" s="10" t="s">
        <v>66</v>
      </c>
      <c r="AP38" s="10" t="s">
        <v>66</v>
      </c>
      <c r="AQ38" s="10" t="s">
        <v>66</v>
      </c>
      <c r="AR38" s="10" t="s">
        <v>66</v>
      </c>
      <c r="AS38" s="10" t="s">
        <v>66</v>
      </c>
      <c r="AT38" s="10"/>
      <c r="AU38" s="10" t="s">
        <v>460</v>
      </c>
    </row>
    <row r="39" customFormat="false" ht="15" hidden="false" customHeight="false" outlineLevel="0" collapsed="false">
      <c r="A39" s="4" t="s">
        <v>461</v>
      </c>
      <c r="B39" s="10" t="s">
        <v>462</v>
      </c>
      <c r="C39" s="10" t="n">
        <v>2024</v>
      </c>
      <c r="D39" s="10" t="s">
        <v>463</v>
      </c>
      <c r="E39" s="10" t="s">
        <v>464</v>
      </c>
      <c r="F39" s="10" t="s">
        <v>60</v>
      </c>
      <c r="G39" s="10" t="s">
        <v>465</v>
      </c>
      <c r="H39" s="10" t="s">
        <v>66</v>
      </c>
      <c r="I39" s="10" t="s">
        <v>66</v>
      </c>
      <c r="J39" s="10" t="s">
        <v>61</v>
      </c>
      <c r="K39" s="10" t="s">
        <v>66</v>
      </c>
      <c r="L39" s="10" t="s">
        <v>66</v>
      </c>
      <c r="M39" s="10" t="s">
        <v>66</v>
      </c>
      <c r="N39" s="10" t="s">
        <v>208</v>
      </c>
      <c r="O39" s="10"/>
      <c r="P39" s="10"/>
      <c r="Q39" s="10" t="s">
        <v>466</v>
      </c>
      <c r="R39" s="10" t="s">
        <v>66</v>
      </c>
      <c r="S39" s="10" t="s">
        <v>296</v>
      </c>
      <c r="T39" s="10" t="n">
        <v>1</v>
      </c>
      <c r="U39" s="10" t="s">
        <v>66</v>
      </c>
      <c r="V39" s="10" t="s">
        <v>66</v>
      </c>
      <c r="W39" s="10" t="s">
        <v>65</v>
      </c>
      <c r="X39" s="10"/>
      <c r="Y39" s="10" t="n">
        <v>6</v>
      </c>
      <c r="Z39" s="11" t="str">
        <f aca="false">IF(AND(ISNUMBER(X39),ISNUMBER(Y39),X39&gt;0),1-Y39/X39,"")</f>
        <v/>
      </c>
      <c r="AA39" s="10" t="s">
        <v>202</v>
      </c>
      <c r="AB39" s="10" t="s">
        <v>193</v>
      </c>
      <c r="AC39" s="10" t="s">
        <v>66</v>
      </c>
      <c r="AD39" s="10" t="s">
        <v>61</v>
      </c>
      <c r="AE39" s="10" t="n">
        <v>98.908</v>
      </c>
      <c r="AF39" s="12" t="str">
        <f aca="false">IF(ISNUMBER(AE39),IF(AE39&gt;99,"Y","N"),"")</f>
        <v>N</v>
      </c>
      <c r="AG39" s="10" t="s">
        <v>61</v>
      </c>
      <c r="AH39" s="10" t="s">
        <v>66</v>
      </c>
      <c r="AI39" s="10" t="s">
        <v>66</v>
      </c>
      <c r="AJ39" s="10" t="s">
        <v>61</v>
      </c>
      <c r="AK39" s="10" t="s">
        <v>61</v>
      </c>
      <c r="AL39" s="10" t="s">
        <v>66</v>
      </c>
      <c r="AM39" s="10" t="s">
        <v>66</v>
      </c>
      <c r="AN39" s="10" t="s">
        <v>66</v>
      </c>
      <c r="AO39" s="10" t="s">
        <v>66</v>
      </c>
      <c r="AP39" s="10" t="s">
        <v>66</v>
      </c>
      <c r="AQ39" s="10" t="s">
        <v>66</v>
      </c>
      <c r="AR39" s="10" t="s">
        <v>66</v>
      </c>
      <c r="AS39" s="10" t="s">
        <v>66</v>
      </c>
      <c r="AT39" s="10"/>
      <c r="AU39" s="10" t="s">
        <v>467</v>
      </c>
    </row>
    <row r="40" customFormat="false" ht="15" hidden="false" customHeight="false" outlineLevel="0" collapsed="false">
      <c r="A40" s="4" t="s">
        <v>468</v>
      </c>
      <c r="B40" s="10" t="s">
        <v>469</v>
      </c>
      <c r="C40" s="10" t="n">
        <v>2024</v>
      </c>
      <c r="D40" s="10" t="s">
        <v>470</v>
      </c>
      <c r="E40" s="10" t="s">
        <v>471</v>
      </c>
      <c r="F40" s="10" t="s">
        <v>60</v>
      </c>
      <c r="G40" s="10" t="s">
        <v>472</v>
      </c>
      <c r="H40" s="10" t="s">
        <v>61</v>
      </c>
      <c r="I40" s="10" t="s">
        <v>61</v>
      </c>
      <c r="J40" s="10" t="s">
        <v>61</v>
      </c>
      <c r="K40" s="10" t="s">
        <v>66</v>
      </c>
      <c r="L40" s="10" t="s">
        <v>66</v>
      </c>
      <c r="M40" s="10" t="s">
        <v>66</v>
      </c>
      <c r="N40" s="10" t="s">
        <v>16</v>
      </c>
      <c r="O40" s="10"/>
      <c r="P40" s="10"/>
      <c r="Q40" s="10" t="s">
        <v>325</v>
      </c>
      <c r="R40" s="10" t="s">
        <v>66</v>
      </c>
      <c r="S40" s="10" t="s">
        <v>473</v>
      </c>
      <c r="T40" s="10" t="n">
        <v>3</v>
      </c>
      <c r="U40" s="10" t="s">
        <v>66</v>
      </c>
      <c r="V40" s="10" t="s">
        <v>66</v>
      </c>
      <c r="W40" s="10" t="s">
        <v>65</v>
      </c>
      <c r="X40" s="10"/>
      <c r="Y40" s="10" t="n">
        <v>20</v>
      </c>
      <c r="Z40" s="11" t="str">
        <f aca="false">IF(AND(ISNUMBER(X40),ISNUMBER(Y40),X40&gt;0),1-Y40/X40,"")</f>
        <v/>
      </c>
      <c r="AA40" s="10" t="s">
        <v>202</v>
      </c>
      <c r="AB40" s="10" t="s">
        <v>193</v>
      </c>
      <c r="AC40" s="10" t="s">
        <v>66</v>
      </c>
      <c r="AD40" s="10" t="s">
        <v>61</v>
      </c>
      <c r="AE40" s="10" t="n">
        <v>97.5202</v>
      </c>
      <c r="AF40" s="12" t="str">
        <f aca="false">IF(ISNUMBER(AE40),IF(AE40&gt;99,"Y","N"),"")</f>
        <v>N</v>
      </c>
      <c r="AG40" s="10" t="s">
        <v>61</v>
      </c>
      <c r="AH40" s="10" t="s">
        <v>66</v>
      </c>
      <c r="AI40" s="10" t="s">
        <v>66</v>
      </c>
      <c r="AJ40" s="10" t="s">
        <v>66</v>
      </c>
      <c r="AK40" s="10" t="s">
        <v>61</v>
      </c>
      <c r="AL40" s="10" t="s">
        <v>66</v>
      </c>
      <c r="AM40" s="10" t="s">
        <v>66</v>
      </c>
      <c r="AN40" s="10" t="s">
        <v>66</v>
      </c>
      <c r="AO40" s="10" t="s">
        <v>66</v>
      </c>
      <c r="AP40" s="10" t="s">
        <v>66</v>
      </c>
      <c r="AQ40" s="10" t="s">
        <v>66</v>
      </c>
      <c r="AR40" s="10" t="s">
        <v>66</v>
      </c>
      <c r="AS40" s="10" t="s">
        <v>66</v>
      </c>
      <c r="AT40" s="10"/>
      <c r="AU40" s="10" t="s">
        <v>474</v>
      </c>
    </row>
    <row r="41" customFormat="false" ht="15" hidden="false" customHeight="false" outlineLevel="0" collapsed="false">
      <c r="A41" s="4" t="s">
        <v>475</v>
      </c>
      <c r="B41" s="10" t="s">
        <v>476</v>
      </c>
      <c r="C41" s="10" t="n">
        <v>2024</v>
      </c>
      <c r="D41" s="10" t="s">
        <v>477</v>
      </c>
      <c r="E41" s="10" t="s">
        <v>478</v>
      </c>
      <c r="F41" s="10" t="s">
        <v>60</v>
      </c>
      <c r="G41" s="10" t="s">
        <v>479</v>
      </c>
      <c r="H41" s="10" t="s">
        <v>66</v>
      </c>
      <c r="I41" s="10" t="s">
        <v>66</v>
      </c>
      <c r="J41" s="10" t="s">
        <v>61</v>
      </c>
      <c r="K41" s="10" t="s">
        <v>66</v>
      </c>
      <c r="L41" s="10" t="s">
        <v>66</v>
      </c>
      <c r="M41" s="10" t="s">
        <v>61</v>
      </c>
      <c r="N41" s="10" t="s">
        <v>208</v>
      </c>
      <c r="O41" s="10"/>
      <c r="P41" s="10"/>
      <c r="Q41" s="10" t="s">
        <v>480</v>
      </c>
      <c r="R41" s="10" t="s">
        <v>61</v>
      </c>
      <c r="S41" s="10" t="s">
        <v>481</v>
      </c>
      <c r="T41" s="10" t="n">
        <v>1</v>
      </c>
      <c r="U41" s="10" t="s">
        <v>66</v>
      </c>
      <c r="V41" s="10" t="s">
        <v>66</v>
      </c>
      <c r="W41" s="10" t="s">
        <v>201</v>
      </c>
      <c r="X41" s="10"/>
      <c r="Y41" s="10"/>
      <c r="Z41" s="11" t="str">
        <f aca="false">IF(AND(ISNUMBER(X41),ISNUMBER(Y41),X41&gt;0),1-Y41/X41,"")</f>
        <v/>
      </c>
      <c r="AA41" s="10" t="s">
        <v>192</v>
      </c>
      <c r="AB41" s="10" t="s">
        <v>193</v>
      </c>
      <c r="AC41" s="10" t="s">
        <v>66</v>
      </c>
      <c r="AD41" s="10" t="s">
        <v>61</v>
      </c>
      <c r="AE41" s="10" t="n">
        <v>99.5</v>
      </c>
      <c r="AF41" s="12" t="str">
        <f aca="false">IF(ISNUMBER(AE41),IF(AE41&gt;99,"Y","N"),"")</f>
        <v>Y</v>
      </c>
      <c r="AG41" s="10" t="s">
        <v>66</v>
      </c>
      <c r="AH41" s="10" t="s">
        <v>61</v>
      </c>
      <c r="AI41" s="10" t="s">
        <v>61</v>
      </c>
      <c r="AJ41" s="10" t="s">
        <v>66</v>
      </c>
      <c r="AK41" s="10" t="s">
        <v>66</v>
      </c>
      <c r="AL41" s="10" t="s">
        <v>66</v>
      </c>
      <c r="AM41" s="10" t="s">
        <v>66</v>
      </c>
      <c r="AN41" s="10" t="s">
        <v>66</v>
      </c>
      <c r="AO41" s="10" t="s">
        <v>66</v>
      </c>
      <c r="AP41" s="10" t="s">
        <v>66</v>
      </c>
      <c r="AQ41" s="10" t="s">
        <v>66</v>
      </c>
      <c r="AR41" s="10" t="s">
        <v>66</v>
      </c>
      <c r="AS41" s="10" t="s">
        <v>66</v>
      </c>
      <c r="AT41" s="10"/>
      <c r="AU41" s="10" t="s">
        <v>482</v>
      </c>
    </row>
    <row r="42" customFormat="false" ht="15" hidden="false" customHeight="false" outlineLevel="0" collapsed="false">
      <c r="A42" s="4" t="s">
        <v>483</v>
      </c>
      <c r="B42" s="10" t="s">
        <v>484</v>
      </c>
      <c r="C42" s="10" t="n">
        <v>2024</v>
      </c>
      <c r="D42" s="10" t="s">
        <v>485</v>
      </c>
      <c r="E42" s="10" t="s">
        <v>486</v>
      </c>
      <c r="F42" s="10" t="s">
        <v>60</v>
      </c>
      <c r="G42" s="10" t="s">
        <v>487</v>
      </c>
      <c r="H42" s="10" t="s">
        <v>61</v>
      </c>
      <c r="I42" s="10" t="s">
        <v>61</v>
      </c>
      <c r="J42" s="10" t="s">
        <v>66</v>
      </c>
      <c r="K42" s="10" t="s">
        <v>66</v>
      </c>
      <c r="L42" s="10" t="s">
        <v>66</v>
      </c>
      <c r="M42" s="10" t="s">
        <v>61</v>
      </c>
      <c r="N42" s="10" t="s">
        <v>488</v>
      </c>
      <c r="O42" s="10"/>
      <c r="P42" s="10"/>
      <c r="Q42" s="10" t="s">
        <v>489</v>
      </c>
      <c r="R42" s="10" t="s">
        <v>61</v>
      </c>
      <c r="S42" s="10" t="s">
        <v>490</v>
      </c>
      <c r="T42" s="10" t="n">
        <v>1</v>
      </c>
      <c r="U42" s="10" t="s">
        <v>66</v>
      </c>
      <c r="V42" s="10" t="s">
        <v>66</v>
      </c>
      <c r="W42" s="10" t="s">
        <v>241</v>
      </c>
      <c r="X42" s="10"/>
      <c r="Y42" s="10"/>
      <c r="Z42" s="11" t="str">
        <f aca="false">IF(AND(ISNUMBER(X42),ISNUMBER(Y42),X42&gt;0),1-Y42/X42,"")</f>
        <v/>
      </c>
      <c r="AA42" s="10" t="s">
        <v>192</v>
      </c>
      <c r="AB42" s="10" t="s">
        <v>193</v>
      </c>
      <c r="AC42" s="10" t="s">
        <v>66</v>
      </c>
      <c r="AD42" s="10" t="s">
        <v>66</v>
      </c>
      <c r="AE42" s="10" t="n">
        <v>98.69</v>
      </c>
      <c r="AF42" s="12" t="str">
        <f aca="false">IF(ISNUMBER(AE42),IF(AE42&gt;99,"Y","N"),"")</f>
        <v>N</v>
      </c>
      <c r="AG42" s="10" t="s">
        <v>66</v>
      </c>
      <c r="AH42" s="10" t="s">
        <v>61</v>
      </c>
      <c r="AI42" s="10" t="s">
        <v>66</v>
      </c>
      <c r="AJ42" s="10" t="s">
        <v>66</v>
      </c>
      <c r="AK42" s="10" t="s">
        <v>66</v>
      </c>
      <c r="AL42" s="10" t="s">
        <v>66</v>
      </c>
      <c r="AM42" s="10" t="s">
        <v>66</v>
      </c>
      <c r="AN42" s="10" t="s">
        <v>66</v>
      </c>
      <c r="AO42" s="10" t="s">
        <v>66</v>
      </c>
      <c r="AP42" s="10" t="s">
        <v>61</v>
      </c>
      <c r="AQ42" s="10" t="s">
        <v>66</v>
      </c>
      <c r="AR42" s="10" t="s">
        <v>66</v>
      </c>
      <c r="AS42" s="10" t="s">
        <v>66</v>
      </c>
      <c r="AT42" s="10"/>
      <c r="AU42" s="10" t="s">
        <v>491</v>
      </c>
    </row>
    <row r="43" customFormat="false" ht="15" hidden="false" customHeight="false" outlineLevel="0" collapsed="false">
      <c r="A43" s="4" t="s">
        <v>492</v>
      </c>
      <c r="B43" s="10" t="s">
        <v>493</v>
      </c>
      <c r="C43" s="10" t="n">
        <v>2024</v>
      </c>
      <c r="D43" s="10" t="s">
        <v>494</v>
      </c>
      <c r="E43" s="10" t="s">
        <v>495</v>
      </c>
      <c r="F43" s="10" t="s">
        <v>60</v>
      </c>
      <c r="G43" s="10" t="s">
        <v>496</v>
      </c>
      <c r="H43" s="10" t="s">
        <v>66</v>
      </c>
      <c r="I43" s="10" t="s">
        <v>66</v>
      </c>
      <c r="J43" s="10" t="s">
        <v>61</v>
      </c>
      <c r="K43" s="10" t="s">
        <v>66</v>
      </c>
      <c r="L43" s="10" t="s">
        <v>66</v>
      </c>
      <c r="M43" s="10" t="s">
        <v>66</v>
      </c>
      <c r="N43" s="10" t="s">
        <v>208</v>
      </c>
      <c r="O43" s="10"/>
      <c r="P43" s="10"/>
      <c r="Q43" s="10" t="s">
        <v>497</v>
      </c>
      <c r="R43" s="10" t="s">
        <v>61</v>
      </c>
      <c r="S43" s="10" t="s">
        <v>498</v>
      </c>
      <c r="T43" s="10" t="n">
        <v>3</v>
      </c>
      <c r="U43" s="10" t="s">
        <v>66</v>
      </c>
      <c r="V43" s="10" t="s">
        <v>66</v>
      </c>
      <c r="W43" s="10" t="s">
        <v>201</v>
      </c>
      <c r="X43" s="10"/>
      <c r="Y43" s="10"/>
      <c r="Z43" s="11" t="str">
        <f aca="false">IF(AND(ISNUMBER(X43),ISNUMBER(Y43),X43&gt;0),1-Y43/X43,"")</f>
        <v/>
      </c>
      <c r="AA43" s="10" t="s">
        <v>192</v>
      </c>
      <c r="AB43" s="10" t="s">
        <v>193</v>
      </c>
      <c r="AC43" s="10" t="s">
        <v>66</v>
      </c>
      <c r="AD43" s="10" t="s">
        <v>66</v>
      </c>
      <c r="AE43" s="10" t="n">
        <v>99.64</v>
      </c>
      <c r="AF43" s="12" t="str">
        <f aca="false">IF(ISNUMBER(AE43),IF(AE43&gt;99,"Y","N"),"")</f>
        <v>Y</v>
      </c>
      <c r="AG43" s="10" t="s">
        <v>66</v>
      </c>
      <c r="AH43" s="10" t="s">
        <v>66</v>
      </c>
      <c r="AI43" s="10" t="s">
        <v>66</v>
      </c>
      <c r="AJ43" s="10" t="s">
        <v>66</v>
      </c>
      <c r="AK43" s="10" t="s">
        <v>61</v>
      </c>
      <c r="AL43" s="10" t="s">
        <v>66</v>
      </c>
      <c r="AM43" s="10" t="s">
        <v>66</v>
      </c>
      <c r="AN43" s="10" t="s">
        <v>66</v>
      </c>
      <c r="AO43" s="10" t="s">
        <v>66</v>
      </c>
      <c r="AP43" s="10" t="s">
        <v>66</v>
      </c>
      <c r="AQ43" s="10" t="s">
        <v>66</v>
      </c>
      <c r="AR43" s="10" t="s">
        <v>66</v>
      </c>
      <c r="AS43" s="10" t="s">
        <v>66</v>
      </c>
      <c r="AT43" s="10"/>
      <c r="AU43" s="10" t="s">
        <v>499</v>
      </c>
    </row>
    <row r="44" customFormat="false" ht="15" hidden="false" customHeight="false" outlineLevel="0" collapsed="false">
      <c r="A44" s="4" t="s">
        <v>500</v>
      </c>
      <c r="B44" s="10" t="s">
        <v>501</v>
      </c>
      <c r="C44" s="10" t="n">
        <v>2024</v>
      </c>
      <c r="D44" s="10" t="s">
        <v>502</v>
      </c>
      <c r="E44" s="10" t="s">
        <v>503</v>
      </c>
      <c r="F44" s="10" t="s">
        <v>60</v>
      </c>
      <c r="G44" s="10" t="s">
        <v>504</v>
      </c>
      <c r="H44" s="10" t="s">
        <v>61</v>
      </c>
      <c r="I44" s="10" t="s">
        <v>61</v>
      </c>
      <c r="J44" s="10" t="s">
        <v>66</v>
      </c>
      <c r="K44" s="10" t="s">
        <v>66</v>
      </c>
      <c r="L44" s="10" t="s">
        <v>66</v>
      </c>
      <c r="M44" s="10" t="s">
        <v>61</v>
      </c>
      <c r="N44" s="10" t="s">
        <v>488</v>
      </c>
      <c r="O44" s="10"/>
      <c r="P44" s="10"/>
      <c r="Q44" s="10" t="s">
        <v>505</v>
      </c>
      <c r="R44" s="10" t="s">
        <v>61</v>
      </c>
      <c r="S44" s="10" t="s">
        <v>233</v>
      </c>
      <c r="T44" s="10" t="n">
        <v>2</v>
      </c>
      <c r="U44" s="10" t="s">
        <v>66</v>
      </c>
      <c r="V44" s="10" t="s">
        <v>66</v>
      </c>
      <c r="W44" s="10" t="s">
        <v>65</v>
      </c>
      <c r="X44" s="10" t="n">
        <v>20</v>
      </c>
      <c r="Y44" s="10" t="n">
        <v>4</v>
      </c>
      <c r="Z44" s="11" t="n">
        <f aca="false">IF(AND(ISNUMBER(X44),ISNUMBER(Y44),X44&gt;0),1-Y44/X44,"")</f>
        <v>0.8</v>
      </c>
      <c r="AA44" s="10" t="s">
        <v>192</v>
      </c>
      <c r="AB44" s="10" t="s">
        <v>193</v>
      </c>
      <c r="AC44" s="10" t="s">
        <v>66</v>
      </c>
      <c r="AD44" s="10" t="s">
        <v>61</v>
      </c>
      <c r="AE44" s="10"/>
      <c r="AF44" s="12" t="str">
        <f aca="false">IF(ISNUMBER(AE44),IF(AE44&gt;99,"Y","N"),"")</f>
        <v/>
      </c>
      <c r="AG44" s="10" t="s">
        <v>66</v>
      </c>
      <c r="AH44" s="10" t="s">
        <v>66</v>
      </c>
      <c r="AI44" s="10" t="s">
        <v>66</v>
      </c>
      <c r="AJ44" s="10" t="s">
        <v>61</v>
      </c>
      <c r="AK44" s="10" t="s">
        <v>61</v>
      </c>
      <c r="AL44" s="10" t="s">
        <v>66</v>
      </c>
      <c r="AM44" s="10" t="s">
        <v>66</v>
      </c>
      <c r="AN44" s="10" t="s">
        <v>66</v>
      </c>
      <c r="AO44" s="10" t="s">
        <v>66</v>
      </c>
      <c r="AP44" s="10" t="s">
        <v>66</v>
      </c>
      <c r="AQ44" s="10" t="s">
        <v>66</v>
      </c>
      <c r="AR44" s="10" t="s">
        <v>66</v>
      </c>
      <c r="AS44" s="10" t="s">
        <v>66</v>
      </c>
      <c r="AT44" s="10"/>
      <c r="AU44" s="10" t="s">
        <v>506</v>
      </c>
    </row>
    <row r="45" customFormat="false" ht="15" hidden="false" customHeight="false" outlineLevel="0" collapsed="false">
      <c r="A45" s="4" t="s">
        <v>507</v>
      </c>
      <c r="B45" s="10" t="s">
        <v>508</v>
      </c>
      <c r="C45" s="10" t="n">
        <v>2024</v>
      </c>
      <c r="D45" s="10" t="s">
        <v>509</v>
      </c>
      <c r="E45" s="10" t="s">
        <v>510</v>
      </c>
      <c r="F45" s="10" t="s">
        <v>60</v>
      </c>
      <c r="G45" s="10" t="s">
        <v>511</v>
      </c>
      <c r="H45" s="10" t="s">
        <v>61</v>
      </c>
      <c r="I45" s="10" t="s">
        <v>61</v>
      </c>
      <c r="J45" s="10" t="s">
        <v>61</v>
      </c>
      <c r="K45" s="10" t="s">
        <v>61</v>
      </c>
      <c r="L45" s="10" t="s">
        <v>61</v>
      </c>
      <c r="M45" s="10" t="s">
        <v>61</v>
      </c>
      <c r="N45" s="10" t="s">
        <v>19</v>
      </c>
      <c r="O45" s="10"/>
      <c r="P45" s="10"/>
      <c r="Q45" s="10" t="s">
        <v>333</v>
      </c>
      <c r="R45" s="10" t="s">
        <v>66</v>
      </c>
      <c r="S45" s="10" t="s">
        <v>64</v>
      </c>
      <c r="T45" s="10" t="n">
        <v>1</v>
      </c>
      <c r="U45" s="10" t="s">
        <v>66</v>
      </c>
      <c r="V45" s="10" t="s">
        <v>66</v>
      </c>
      <c r="W45" s="10" t="s">
        <v>201</v>
      </c>
      <c r="X45" s="10"/>
      <c r="Y45" s="10" t="n">
        <v>10</v>
      </c>
      <c r="Z45" s="11" t="str">
        <f aca="false">IF(AND(ISNUMBER(X45),ISNUMBER(Y45),X45&gt;0),1-Y45/X45,"")</f>
        <v/>
      </c>
      <c r="AA45" s="10" t="s">
        <v>202</v>
      </c>
      <c r="AB45" s="10" t="s">
        <v>193</v>
      </c>
      <c r="AC45" s="10" t="s">
        <v>66</v>
      </c>
      <c r="AD45" s="10" t="s">
        <v>61</v>
      </c>
      <c r="AE45" s="10" t="n">
        <v>96.6</v>
      </c>
      <c r="AF45" s="12" t="str">
        <f aca="false">IF(ISNUMBER(AE45),IF(AE45&gt;99,"Y","N"),"")</f>
        <v>N</v>
      </c>
      <c r="AG45" s="10" t="s">
        <v>66</v>
      </c>
      <c r="AH45" s="10" t="s">
        <v>61</v>
      </c>
      <c r="AI45" s="10" t="s">
        <v>61</v>
      </c>
      <c r="AJ45" s="10" t="s">
        <v>61</v>
      </c>
      <c r="AK45" s="10" t="s">
        <v>61</v>
      </c>
      <c r="AL45" s="10" t="s">
        <v>66</v>
      </c>
      <c r="AM45" s="10" t="s">
        <v>66</v>
      </c>
      <c r="AN45" s="10" t="s">
        <v>66</v>
      </c>
      <c r="AO45" s="10" t="s">
        <v>66</v>
      </c>
      <c r="AP45" s="10" t="s">
        <v>66</v>
      </c>
      <c r="AQ45" s="10" t="s">
        <v>66</v>
      </c>
      <c r="AR45" s="10" t="s">
        <v>66</v>
      </c>
      <c r="AS45" s="10" t="s">
        <v>66</v>
      </c>
      <c r="AT45" s="10"/>
      <c r="AU45" s="10" t="s">
        <v>512</v>
      </c>
    </row>
    <row r="46" customFormat="false" ht="15" hidden="false" customHeight="false" outlineLevel="0" collapsed="false">
      <c r="A46" s="4" t="s">
        <v>513</v>
      </c>
      <c r="B46" s="10" t="s">
        <v>514</v>
      </c>
      <c r="C46" s="10" t="n">
        <v>2024</v>
      </c>
      <c r="D46" s="10" t="s">
        <v>515</v>
      </c>
      <c r="E46" s="10" t="s">
        <v>516</v>
      </c>
      <c r="F46" s="10" t="s">
        <v>60</v>
      </c>
      <c r="G46" s="10" t="s">
        <v>517</v>
      </c>
      <c r="H46" s="10" t="s">
        <v>61</v>
      </c>
      <c r="I46" s="10" t="s">
        <v>66</v>
      </c>
      <c r="J46" s="10" t="s">
        <v>66</v>
      </c>
      <c r="K46" s="10" t="s">
        <v>66</v>
      </c>
      <c r="L46" s="10" t="s">
        <v>66</v>
      </c>
      <c r="M46" s="10" t="s">
        <v>61</v>
      </c>
      <c r="N46" s="10" t="s">
        <v>279</v>
      </c>
      <c r="O46" s="10"/>
      <c r="P46" s="10"/>
      <c r="Q46" s="10" t="s">
        <v>497</v>
      </c>
      <c r="R46" s="10" t="s">
        <v>61</v>
      </c>
      <c r="S46" s="10" t="s">
        <v>518</v>
      </c>
      <c r="T46" s="10" t="n">
        <v>1</v>
      </c>
      <c r="U46" s="10" t="s">
        <v>66</v>
      </c>
      <c r="V46" s="10" t="s">
        <v>66</v>
      </c>
      <c r="W46" s="10" t="s">
        <v>65</v>
      </c>
      <c r="X46" s="10" t="n">
        <v>81</v>
      </c>
      <c r="Y46" s="10" t="n">
        <v>10</v>
      </c>
      <c r="Z46" s="11" t="n">
        <f aca="false">IF(AND(ISNUMBER(X46),ISNUMBER(Y46),X46&gt;0),1-Y46/X46,"")</f>
        <v>0.876543209876543</v>
      </c>
      <c r="AA46" s="10" t="s">
        <v>356</v>
      </c>
      <c r="AB46" s="10" t="s">
        <v>193</v>
      </c>
      <c r="AC46" s="10" t="s">
        <v>66</v>
      </c>
      <c r="AD46" s="10" t="s">
        <v>66</v>
      </c>
      <c r="AE46" s="10" t="n">
        <v>99.98</v>
      </c>
      <c r="AF46" s="12" t="str">
        <f aca="false">IF(ISNUMBER(AE46),IF(AE46&gt;99,"Y","N"),"")</f>
        <v>Y</v>
      </c>
      <c r="AG46" s="10" t="s">
        <v>66</v>
      </c>
      <c r="AH46" s="10" t="s">
        <v>61</v>
      </c>
      <c r="AI46" s="10" t="s">
        <v>66</v>
      </c>
      <c r="AJ46" s="10" t="s">
        <v>61</v>
      </c>
      <c r="AK46" s="10" t="s">
        <v>61</v>
      </c>
      <c r="AL46" s="10" t="s">
        <v>61</v>
      </c>
      <c r="AM46" s="10" t="s">
        <v>66</v>
      </c>
      <c r="AN46" s="10" t="s">
        <v>66</v>
      </c>
      <c r="AO46" s="10" t="s">
        <v>66</v>
      </c>
      <c r="AP46" s="10" t="s">
        <v>66</v>
      </c>
      <c r="AQ46" s="10" t="s">
        <v>61</v>
      </c>
      <c r="AR46" s="10" t="s">
        <v>66</v>
      </c>
      <c r="AS46" s="10" t="s">
        <v>66</v>
      </c>
      <c r="AT46" s="10"/>
      <c r="AU46" s="10" t="s">
        <v>519</v>
      </c>
    </row>
    <row r="47" customFormat="false" ht="15" hidden="false" customHeight="false" outlineLevel="0" collapsed="false">
      <c r="A47" s="4" t="s">
        <v>520</v>
      </c>
      <c r="B47" s="10" t="s">
        <v>521</v>
      </c>
      <c r="C47" s="10" t="n">
        <v>2024</v>
      </c>
      <c r="D47" s="10" t="s">
        <v>522</v>
      </c>
      <c r="E47" s="10" t="s">
        <v>523</v>
      </c>
      <c r="F47" s="10" t="s">
        <v>60</v>
      </c>
      <c r="G47" s="10" t="s">
        <v>524</v>
      </c>
      <c r="H47" s="10" t="s">
        <v>61</v>
      </c>
      <c r="I47" s="10" t="s">
        <v>66</v>
      </c>
      <c r="J47" s="10" t="s">
        <v>61</v>
      </c>
      <c r="K47" s="10" t="s">
        <v>66</v>
      </c>
      <c r="L47" s="10" t="s">
        <v>61</v>
      </c>
      <c r="M47" s="10" t="s">
        <v>66</v>
      </c>
      <c r="N47" s="10" t="s">
        <v>208</v>
      </c>
      <c r="O47" s="10"/>
      <c r="P47" s="10"/>
      <c r="Q47" s="10" t="s">
        <v>525</v>
      </c>
      <c r="R47" s="10" t="s">
        <v>61</v>
      </c>
      <c r="S47" s="10" t="s">
        <v>249</v>
      </c>
      <c r="T47" s="10" t="n">
        <v>1</v>
      </c>
      <c r="U47" s="10" t="s">
        <v>61</v>
      </c>
      <c r="V47" s="10" t="s">
        <v>66</v>
      </c>
      <c r="W47" s="10"/>
      <c r="X47" s="10" t="n">
        <v>100</v>
      </c>
      <c r="Y47" s="10" t="n">
        <v>20</v>
      </c>
      <c r="Z47" s="11" t="n">
        <f aca="false">IF(AND(ISNUMBER(X47),ISNUMBER(Y47),X47&gt;0),1-Y47/X47,"")</f>
        <v>0.8</v>
      </c>
      <c r="AA47" s="10" t="s">
        <v>192</v>
      </c>
      <c r="AB47" s="10" t="s">
        <v>193</v>
      </c>
      <c r="AC47" s="10" t="s">
        <v>61</v>
      </c>
      <c r="AD47" s="10" t="s">
        <v>61</v>
      </c>
      <c r="AE47" s="10"/>
      <c r="AF47" s="12" t="str">
        <f aca="false">IF(ISNUMBER(AE47),IF(AE47&gt;99,"Y","N"),"")</f>
        <v/>
      </c>
      <c r="AG47" s="10" t="s">
        <v>66</v>
      </c>
      <c r="AH47" s="10" t="s">
        <v>61</v>
      </c>
      <c r="AI47" s="10" t="s">
        <v>66</v>
      </c>
      <c r="AJ47" s="10" t="s">
        <v>66</v>
      </c>
      <c r="AK47" s="10" t="s">
        <v>66</v>
      </c>
      <c r="AL47" s="10" t="s">
        <v>66</v>
      </c>
      <c r="AM47" s="10" t="s">
        <v>61</v>
      </c>
      <c r="AN47" s="10" t="s">
        <v>66</v>
      </c>
      <c r="AO47" s="10" t="s">
        <v>66</v>
      </c>
      <c r="AP47" s="10" t="s">
        <v>66</v>
      </c>
      <c r="AQ47" s="10" t="s">
        <v>66</v>
      </c>
      <c r="AR47" s="10" t="s">
        <v>66</v>
      </c>
      <c r="AS47" s="10" t="s">
        <v>66</v>
      </c>
      <c r="AT47" s="10"/>
      <c r="AU47" s="10" t="s">
        <v>526</v>
      </c>
    </row>
    <row r="48" customFormat="false" ht="15" hidden="false" customHeight="false" outlineLevel="0" collapsed="false">
      <c r="A48" s="4" t="s">
        <v>527</v>
      </c>
      <c r="B48" s="10" t="s">
        <v>528</v>
      </c>
      <c r="C48" s="10" t="n">
        <v>2024</v>
      </c>
      <c r="D48" s="10" t="s">
        <v>529</v>
      </c>
      <c r="E48" s="10" t="s">
        <v>530</v>
      </c>
      <c r="F48" s="10" t="s">
        <v>60</v>
      </c>
      <c r="G48" s="10" t="s">
        <v>531</v>
      </c>
      <c r="H48" s="10" t="s">
        <v>61</v>
      </c>
      <c r="I48" s="10" t="s">
        <v>66</v>
      </c>
      <c r="J48" s="10" t="s">
        <v>61</v>
      </c>
      <c r="K48" s="10" t="s">
        <v>66</v>
      </c>
      <c r="L48" s="10" t="s">
        <v>61</v>
      </c>
      <c r="M48" s="10" t="s">
        <v>61</v>
      </c>
      <c r="N48" s="10" t="s">
        <v>20</v>
      </c>
      <c r="O48" s="10"/>
      <c r="P48" s="10"/>
      <c r="Q48" s="10" t="s">
        <v>532</v>
      </c>
      <c r="R48" s="10" t="s">
        <v>61</v>
      </c>
      <c r="S48" s="10" t="s">
        <v>533</v>
      </c>
      <c r="T48" s="10" t="n">
        <v>2</v>
      </c>
      <c r="U48" s="10" t="s">
        <v>61</v>
      </c>
      <c r="V48" s="10" t="s">
        <v>66</v>
      </c>
      <c r="W48" s="10"/>
      <c r="X48" s="10"/>
      <c r="Y48" s="10"/>
      <c r="Z48" s="11" t="str">
        <f aca="false">IF(AND(ISNUMBER(X48),ISNUMBER(Y48),X48&gt;0),1-Y48/X48,"")</f>
        <v/>
      </c>
      <c r="AA48" s="10" t="s">
        <v>202</v>
      </c>
      <c r="AB48" s="10" t="s">
        <v>193</v>
      </c>
      <c r="AC48" s="10" t="s">
        <v>66</v>
      </c>
      <c r="AD48" s="10" t="s">
        <v>66</v>
      </c>
      <c r="AE48" s="10" t="n">
        <v>99.45</v>
      </c>
      <c r="AF48" s="12" t="str">
        <f aca="false">IF(ISNUMBER(AE48),IF(AE48&gt;99,"Y","N"),"")</f>
        <v>Y</v>
      </c>
      <c r="AG48" s="10" t="s">
        <v>61</v>
      </c>
      <c r="AH48" s="10" t="s">
        <v>66</v>
      </c>
      <c r="AI48" s="10" t="s">
        <v>66</v>
      </c>
      <c r="AJ48" s="10" t="s">
        <v>61</v>
      </c>
      <c r="AK48" s="10" t="s">
        <v>66</v>
      </c>
      <c r="AL48" s="10" t="s">
        <v>66</v>
      </c>
      <c r="AM48" s="10" t="s">
        <v>66</v>
      </c>
      <c r="AN48" s="10" t="s">
        <v>66</v>
      </c>
      <c r="AO48" s="10" t="s">
        <v>66</v>
      </c>
      <c r="AP48" s="10" t="s">
        <v>66</v>
      </c>
      <c r="AQ48" s="10" t="s">
        <v>66</v>
      </c>
      <c r="AR48" s="10" t="s">
        <v>66</v>
      </c>
      <c r="AS48" s="10" t="s">
        <v>66</v>
      </c>
      <c r="AT48" s="10"/>
      <c r="AU48" s="10" t="s">
        <v>534</v>
      </c>
    </row>
    <row r="49" customFormat="false" ht="15" hidden="false" customHeight="false" outlineLevel="0" collapsed="false">
      <c r="A49" s="4" t="s">
        <v>535</v>
      </c>
      <c r="B49" s="10" t="s">
        <v>536</v>
      </c>
      <c r="C49" s="10" t="n">
        <v>2024</v>
      </c>
      <c r="D49" s="10" t="s">
        <v>537</v>
      </c>
      <c r="E49" s="10" t="s">
        <v>215</v>
      </c>
      <c r="F49" s="10" t="s">
        <v>60</v>
      </c>
      <c r="G49" s="10" t="s">
        <v>538</v>
      </c>
      <c r="H49" s="10" t="s">
        <v>61</v>
      </c>
      <c r="I49" s="10" t="s">
        <v>61</v>
      </c>
      <c r="J49" s="10" t="s">
        <v>61</v>
      </c>
      <c r="K49" s="10" t="s">
        <v>66</v>
      </c>
      <c r="L49" s="10" t="s">
        <v>61</v>
      </c>
      <c r="M49" s="10" t="s">
        <v>66</v>
      </c>
      <c r="N49" s="10" t="s">
        <v>16</v>
      </c>
      <c r="O49" s="10"/>
      <c r="P49" s="10"/>
      <c r="Q49" s="10" t="s">
        <v>539</v>
      </c>
      <c r="R49" s="10" t="s">
        <v>61</v>
      </c>
      <c r="S49" s="10" t="s">
        <v>540</v>
      </c>
      <c r="T49" s="10" t="n">
        <v>3</v>
      </c>
      <c r="U49" s="10" t="s">
        <v>66</v>
      </c>
      <c r="V49" s="10" t="s">
        <v>66</v>
      </c>
      <c r="W49" s="10" t="s">
        <v>65</v>
      </c>
      <c r="X49" s="10" t="n">
        <v>46</v>
      </c>
      <c r="Y49" s="10" t="n">
        <v>22</v>
      </c>
      <c r="Z49" s="11" t="n">
        <f aca="false">IF(AND(ISNUMBER(X49),ISNUMBER(Y49),X49&gt;0),1-Y49/X49,"")</f>
        <v>0.521739130434783</v>
      </c>
      <c r="AA49" s="10" t="s">
        <v>192</v>
      </c>
      <c r="AB49" s="10" t="s">
        <v>193</v>
      </c>
      <c r="AC49" s="10" t="s">
        <v>66</v>
      </c>
      <c r="AD49" s="10" t="s">
        <v>61</v>
      </c>
      <c r="AE49" s="10" t="n">
        <v>99.99</v>
      </c>
      <c r="AF49" s="12" t="str">
        <f aca="false">IF(ISNUMBER(AE49),IF(AE49&gt;99,"Y","N"),"")</f>
        <v>Y</v>
      </c>
      <c r="AG49" s="10" t="s">
        <v>61</v>
      </c>
      <c r="AH49" s="10" t="s">
        <v>66</v>
      </c>
      <c r="AI49" s="10" t="s">
        <v>66</v>
      </c>
      <c r="AJ49" s="10" t="s">
        <v>61</v>
      </c>
      <c r="AK49" s="10" t="s">
        <v>61</v>
      </c>
      <c r="AL49" s="10" t="s">
        <v>66</v>
      </c>
      <c r="AM49" s="10" t="s">
        <v>66</v>
      </c>
      <c r="AN49" s="10" t="s">
        <v>66</v>
      </c>
      <c r="AO49" s="10" t="s">
        <v>66</v>
      </c>
      <c r="AP49" s="10" t="s">
        <v>66</v>
      </c>
      <c r="AQ49" s="10" t="s">
        <v>66</v>
      </c>
      <c r="AR49" s="10" t="s">
        <v>66</v>
      </c>
      <c r="AS49" s="10" t="s">
        <v>61</v>
      </c>
      <c r="AT49" s="10"/>
      <c r="AU49" s="10" t="s">
        <v>541</v>
      </c>
    </row>
    <row r="50" customFormat="false" ht="15" hidden="false" customHeight="false" outlineLevel="0" collapsed="false">
      <c r="A50" s="4" t="s">
        <v>542</v>
      </c>
      <c r="B50" s="10" t="s">
        <v>543</v>
      </c>
      <c r="C50" s="10" t="n">
        <v>2024</v>
      </c>
      <c r="D50" s="10" t="s">
        <v>544</v>
      </c>
      <c r="E50" s="10" t="s">
        <v>376</v>
      </c>
      <c r="F50" s="10" t="s">
        <v>60</v>
      </c>
      <c r="G50" s="10" t="s">
        <v>545</v>
      </c>
      <c r="H50" s="10" t="s">
        <v>61</v>
      </c>
      <c r="I50" s="10" t="s">
        <v>66</v>
      </c>
      <c r="J50" s="10" t="s">
        <v>61</v>
      </c>
      <c r="K50" s="10" t="s">
        <v>66</v>
      </c>
      <c r="L50" s="10" t="s">
        <v>61</v>
      </c>
      <c r="M50" s="10" t="s">
        <v>61</v>
      </c>
      <c r="N50" s="10" t="s">
        <v>208</v>
      </c>
      <c r="O50" s="10"/>
      <c r="P50" s="10"/>
      <c r="Q50" s="10" t="s">
        <v>546</v>
      </c>
      <c r="R50" s="10" t="s">
        <v>61</v>
      </c>
      <c r="S50" s="10" t="s">
        <v>265</v>
      </c>
      <c r="T50" s="10" t="n">
        <v>2</v>
      </c>
      <c r="U50" s="10" t="s">
        <v>66</v>
      </c>
      <c r="V50" s="10" t="s">
        <v>66</v>
      </c>
      <c r="W50" s="10" t="s">
        <v>65</v>
      </c>
      <c r="X50" s="10"/>
      <c r="Y50" s="10"/>
      <c r="Z50" s="11" t="str">
        <f aca="false">IF(AND(ISNUMBER(X50),ISNUMBER(Y50),X50&gt;0),1-Y50/X50,"")</f>
        <v/>
      </c>
      <c r="AA50" s="10" t="s">
        <v>202</v>
      </c>
      <c r="AB50" s="10" t="s">
        <v>193</v>
      </c>
      <c r="AC50" s="10" t="s">
        <v>66</v>
      </c>
      <c r="AD50" s="10" t="s">
        <v>66</v>
      </c>
      <c r="AE50" s="10" t="n">
        <v>96.12</v>
      </c>
      <c r="AF50" s="12" t="str">
        <f aca="false">IF(ISNUMBER(AE50),IF(AE50&gt;99,"Y","N"),"")</f>
        <v>N</v>
      </c>
      <c r="AG50" s="10" t="s">
        <v>61</v>
      </c>
      <c r="AH50" s="10" t="s">
        <v>66</v>
      </c>
      <c r="AI50" s="10" t="s">
        <v>66</v>
      </c>
      <c r="AJ50" s="10" t="s">
        <v>61</v>
      </c>
      <c r="AK50" s="10" t="s">
        <v>66</v>
      </c>
      <c r="AL50" s="10" t="s">
        <v>66</v>
      </c>
      <c r="AM50" s="10" t="s">
        <v>66</v>
      </c>
      <c r="AN50" s="10" t="s">
        <v>66</v>
      </c>
      <c r="AO50" s="10" t="s">
        <v>66</v>
      </c>
      <c r="AP50" s="10" t="s">
        <v>66</v>
      </c>
      <c r="AQ50" s="10" t="s">
        <v>66</v>
      </c>
      <c r="AR50" s="10" t="s">
        <v>66</v>
      </c>
      <c r="AS50" s="10" t="s">
        <v>66</v>
      </c>
      <c r="AT50" s="10"/>
      <c r="AU50" s="10" t="s">
        <v>547</v>
      </c>
    </row>
    <row r="51" customFormat="false" ht="15" hidden="false" customHeight="false" outlineLevel="0" collapsed="false">
      <c r="A51" s="4" t="s">
        <v>548</v>
      </c>
      <c r="B51" s="10" t="s">
        <v>549</v>
      </c>
      <c r="C51" s="10" t="n">
        <v>2024</v>
      </c>
      <c r="D51" s="10" t="s">
        <v>550</v>
      </c>
      <c r="E51" s="10" t="s">
        <v>551</v>
      </c>
      <c r="F51" s="10" t="s">
        <v>60</v>
      </c>
      <c r="G51" s="10" t="s">
        <v>552</v>
      </c>
      <c r="H51" s="10" t="s">
        <v>61</v>
      </c>
      <c r="I51" s="10" t="s">
        <v>66</v>
      </c>
      <c r="J51" s="10" t="s">
        <v>61</v>
      </c>
      <c r="K51" s="10" t="s">
        <v>61</v>
      </c>
      <c r="L51" s="10" t="s">
        <v>61</v>
      </c>
      <c r="M51" s="10" t="s">
        <v>61</v>
      </c>
      <c r="N51" s="10" t="s">
        <v>208</v>
      </c>
      <c r="O51" s="10"/>
      <c r="P51" s="10"/>
      <c r="Q51" s="10" t="s">
        <v>553</v>
      </c>
      <c r="R51" s="10" t="s">
        <v>61</v>
      </c>
      <c r="S51" s="10" t="s">
        <v>64</v>
      </c>
      <c r="T51" s="10" t="n">
        <v>1</v>
      </c>
      <c r="U51" s="10" t="s">
        <v>66</v>
      </c>
      <c r="V51" s="10" t="s">
        <v>61</v>
      </c>
      <c r="W51" s="10" t="s">
        <v>65</v>
      </c>
      <c r="X51" s="10" t="n">
        <v>97</v>
      </c>
      <c r="Y51" s="10" t="n">
        <v>95</v>
      </c>
      <c r="Z51" s="11" t="n">
        <f aca="false">IF(AND(ISNUMBER(X51),ISNUMBER(Y51),X51&gt;0),1-Y51/X51,"")</f>
        <v>0.020618556701031</v>
      </c>
      <c r="AA51" s="10" t="s">
        <v>202</v>
      </c>
      <c r="AB51" s="10" t="s">
        <v>61</v>
      </c>
      <c r="AC51" s="10" t="s">
        <v>66</v>
      </c>
      <c r="AD51" s="10" t="s">
        <v>66</v>
      </c>
      <c r="AE51" s="10" t="n">
        <v>94</v>
      </c>
      <c r="AF51" s="12" t="str">
        <f aca="false">IF(ISNUMBER(AE51),IF(AE51&gt;99,"Y","N"),"")</f>
        <v>N</v>
      </c>
      <c r="AG51" s="10" t="s">
        <v>61</v>
      </c>
      <c r="AH51" s="10" t="s">
        <v>66</v>
      </c>
      <c r="AI51" s="10" t="s">
        <v>66</v>
      </c>
      <c r="AJ51" s="10" t="s">
        <v>61</v>
      </c>
      <c r="AK51" s="10" t="s">
        <v>61</v>
      </c>
      <c r="AL51" s="10" t="s">
        <v>66</v>
      </c>
      <c r="AM51" s="10" t="s">
        <v>66</v>
      </c>
      <c r="AN51" s="10" t="s">
        <v>66</v>
      </c>
      <c r="AO51" s="10" t="s">
        <v>66</v>
      </c>
      <c r="AP51" s="10" t="s">
        <v>66</v>
      </c>
      <c r="AQ51" s="10" t="s">
        <v>66</v>
      </c>
      <c r="AR51" s="10" t="s">
        <v>66</v>
      </c>
      <c r="AS51" s="10" t="s">
        <v>66</v>
      </c>
      <c r="AT51" s="10"/>
      <c r="AU51" s="10" t="s">
        <v>554</v>
      </c>
    </row>
    <row r="52" customFormat="false" ht="15" hidden="false" customHeight="false" outlineLevel="0" collapsed="false">
      <c r="A52" s="4" t="s">
        <v>555</v>
      </c>
      <c r="B52" s="10" t="s">
        <v>556</v>
      </c>
      <c r="C52" s="10" t="n">
        <v>2024</v>
      </c>
      <c r="D52" s="10" t="s">
        <v>557</v>
      </c>
      <c r="E52" s="10" t="s">
        <v>558</v>
      </c>
      <c r="F52" s="10" t="s">
        <v>60</v>
      </c>
      <c r="G52" s="10" t="s">
        <v>559</v>
      </c>
      <c r="H52" s="10" t="s">
        <v>61</v>
      </c>
      <c r="I52" s="10" t="s">
        <v>66</v>
      </c>
      <c r="J52" s="10" t="s">
        <v>61</v>
      </c>
      <c r="K52" s="10" t="s">
        <v>66</v>
      </c>
      <c r="L52" s="10" t="s">
        <v>66</v>
      </c>
      <c r="M52" s="10" t="s">
        <v>66</v>
      </c>
      <c r="N52" s="10" t="s">
        <v>16</v>
      </c>
      <c r="O52" s="10"/>
      <c r="P52" s="10"/>
      <c r="Q52" s="10" t="s">
        <v>560</v>
      </c>
      <c r="R52" s="10" t="s">
        <v>61</v>
      </c>
      <c r="S52" s="10" t="s">
        <v>561</v>
      </c>
      <c r="T52" s="10" t="n">
        <v>1</v>
      </c>
      <c r="U52" s="10" t="s">
        <v>66</v>
      </c>
      <c r="V52" s="10" t="s">
        <v>66</v>
      </c>
      <c r="W52" s="10"/>
      <c r="X52" s="10" t="n">
        <v>40</v>
      </c>
      <c r="Y52" s="10" t="n">
        <v>5</v>
      </c>
      <c r="Z52" s="11" t="n">
        <f aca="false">IF(AND(ISNUMBER(X52),ISNUMBER(Y52),X52&gt;0),1-Y52/X52,"")</f>
        <v>0.875</v>
      </c>
      <c r="AA52" s="10" t="s">
        <v>202</v>
      </c>
      <c r="AB52" s="10" t="s">
        <v>193</v>
      </c>
      <c r="AC52" s="10" t="s">
        <v>66</v>
      </c>
      <c r="AD52" s="10" t="s">
        <v>66</v>
      </c>
      <c r="AE52" s="10" t="n">
        <v>96.2</v>
      </c>
      <c r="AF52" s="12" t="str">
        <f aca="false">IF(ISNUMBER(AE52),IF(AE52&gt;99,"Y","N"),"")</f>
        <v>N</v>
      </c>
      <c r="AG52" s="10" t="s">
        <v>66</v>
      </c>
      <c r="AH52" s="10" t="s">
        <v>66</v>
      </c>
      <c r="AI52" s="10" t="s">
        <v>61</v>
      </c>
      <c r="AJ52" s="10" t="s">
        <v>66</v>
      </c>
      <c r="AK52" s="10" t="s">
        <v>61</v>
      </c>
      <c r="AL52" s="10" t="s">
        <v>66</v>
      </c>
      <c r="AM52" s="10" t="s">
        <v>66</v>
      </c>
      <c r="AN52" s="10" t="s">
        <v>66</v>
      </c>
      <c r="AO52" s="10" t="s">
        <v>66</v>
      </c>
      <c r="AP52" s="10" t="s">
        <v>66</v>
      </c>
      <c r="AQ52" s="10" t="s">
        <v>61</v>
      </c>
      <c r="AR52" s="10" t="s">
        <v>66</v>
      </c>
      <c r="AS52" s="10" t="s">
        <v>66</v>
      </c>
      <c r="AT52" s="10"/>
      <c r="AU52" s="10" t="s">
        <v>562</v>
      </c>
    </row>
    <row r="53" customFormat="false" ht="15" hidden="false" customHeight="false" outlineLevel="0" collapsed="false">
      <c r="A53" s="4" t="s">
        <v>563</v>
      </c>
      <c r="B53" s="10" t="s">
        <v>564</v>
      </c>
      <c r="C53" s="10" t="n">
        <v>2024</v>
      </c>
      <c r="D53" s="10" t="s">
        <v>565</v>
      </c>
      <c r="E53" s="10" t="s">
        <v>566</v>
      </c>
      <c r="F53" s="10" t="s">
        <v>60</v>
      </c>
      <c r="G53" s="10" t="s">
        <v>567</v>
      </c>
      <c r="H53" s="10" t="s">
        <v>66</v>
      </c>
      <c r="I53" s="10" t="s">
        <v>66</v>
      </c>
      <c r="J53" s="10" t="s">
        <v>61</v>
      </c>
      <c r="K53" s="10" t="s">
        <v>66</v>
      </c>
      <c r="L53" s="10" t="s">
        <v>66</v>
      </c>
      <c r="M53" s="10" t="s">
        <v>61</v>
      </c>
      <c r="N53" s="10" t="s">
        <v>208</v>
      </c>
      <c r="O53" s="10"/>
      <c r="P53" s="10"/>
      <c r="Q53" s="10" t="s">
        <v>568</v>
      </c>
      <c r="R53" s="10" t="s">
        <v>66</v>
      </c>
      <c r="S53" s="10" t="s">
        <v>326</v>
      </c>
      <c r="T53" s="10" t="n">
        <v>1</v>
      </c>
      <c r="U53" s="10" t="s">
        <v>61</v>
      </c>
      <c r="V53" s="10" t="s">
        <v>66</v>
      </c>
      <c r="W53" s="10"/>
      <c r="X53" s="10"/>
      <c r="Y53" s="10"/>
      <c r="Z53" s="11" t="str">
        <f aca="false">IF(AND(ISNUMBER(X53),ISNUMBER(Y53),X53&gt;0),1-Y53/X53,"")</f>
        <v/>
      </c>
      <c r="AA53" s="10" t="s">
        <v>356</v>
      </c>
      <c r="AB53" s="10" t="s">
        <v>193</v>
      </c>
      <c r="AC53" s="10" t="s">
        <v>66</v>
      </c>
      <c r="AD53" s="10" t="s">
        <v>66</v>
      </c>
      <c r="AE53" s="10" t="n">
        <v>99.6</v>
      </c>
      <c r="AF53" s="12" t="str">
        <f aca="false">IF(ISNUMBER(AE53),IF(AE53&gt;99,"Y","N"),"")</f>
        <v>Y</v>
      </c>
      <c r="AG53" s="10" t="s">
        <v>61</v>
      </c>
      <c r="AH53" s="10" t="s">
        <v>66</v>
      </c>
      <c r="AI53" s="10" t="s">
        <v>66</v>
      </c>
      <c r="AJ53" s="10" t="s">
        <v>61</v>
      </c>
      <c r="AK53" s="10" t="s">
        <v>66</v>
      </c>
      <c r="AL53" s="10" t="s">
        <v>66</v>
      </c>
      <c r="AM53" s="10" t="s">
        <v>66</v>
      </c>
      <c r="AN53" s="10" t="s">
        <v>66</v>
      </c>
      <c r="AO53" s="10" t="s">
        <v>66</v>
      </c>
      <c r="AP53" s="10" t="s">
        <v>66</v>
      </c>
      <c r="AQ53" s="10" t="s">
        <v>66</v>
      </c>
      <c r="AR53" s="10" t="s">
        <v>66</v>
      </c>
      <c r="AS53" s="10" t="s">
        <v>66</v>
      </c>
      <c r="AT53" s="10"/>
      <c r="AU53" s="10" t="s">
        <v>569</v>
      </c>
    </row>
    <row r="54" customFormat="false" ht="15" hidden="false" customHeight="false" outlineLevel="0" collapsed="false">
      <c r="A54" s="4" t="s">
        <v>570</v>
      </c>
      <c r="B54" s="10" t="s">
        <v>571</v>
      </c>
      <c r="C54" s="10" t="n">
        <v>2024</v>
      </c>
      <c r="D54" s="10" t="s">
        <v>572</v>
      </c>
      <c r="E54" s="10" t="s">
        <v>573</v>
      </c>
      <c r="F54" s="10" t="s">
        <v>60</v>
      </c>
      <c r="G54" s="10" t="s">
        <v>574</v>
      </c>
      <c r="H54" s="10" t="s">
        <v>61</v>
      </c>
      <c r="I54" s="10" t="s">
        <v>61</v>
      </c>
      <c r="J54" s="10" t="s">
        <v>66</v>
      </c>
      <c r="K54" s="10" t="s">
        <v>61</v>
      </c>
      <c r="L54" s="10" t="s">
        <v>66</v>
      </c>
      <c r="M54" s="10" t="s">
        <v>66</v>
      </c>
      <c r="N54" s="10" t="s">
        <v>488</v>
      </c>
      <c r="O54" s="10"/>
      <c r="P54" s="10"/>
      <c r="Q54" s="10" t="s">
        <v>575</v>
      </c>
      <c r="R54" s="10" t="s">
        <v>66</v>
      </c>
      <c r="S54" s="10" t="s">
        <v>533</v>
      </c>
      <c r="T54" s="10" t="n">
        <v>2</v>
      </c>
      <c r="U54" s="10" t="s">
        <v>61</v>
      </c>
      <c r="V54" s="10" t="s">
        <v>66</v>
      </c>
      <c r="W54" s="10" t="s">
        <v>65</v>
      </c>
      <c r="X54" s="10"/>
      <c r="Y54" s="10"/>
      <c r="Z54" s="11" t="str">
        <f aca="false">IF(AND(ISNUMBER(X54),ISNUMBER(Y54),X54&gt;0),1-Y54/X54,"")</f>
        <v/>
      </c>
      <c r="AA54" s="10" t="s">
        <v>202</v>
      </c>
      <c r="AB54" s="10" t="s">
        <v>193</v>
      </c>
      <c r="AC54" s="10" t="s">
        <v>66</v>
      </c>
      <c r="AD54" s="10" t="s">
        <v>61</v>
      </c>
      <c r="AE54" s="10" t="n">
        <v>99.91</v>
      </c>
      <c r="AF54" s="12" t="str">
        <f aca="false">IF(ISNUMBER(AE54),IF(AE54&gt;99,"Y","N"),"")</f>
        <v>Y</v>
      </c>
      <c r="AG54" s="10" t="s">
        <v>66</v>
      </c>
      <c r="AH54" s="10" t="s">
        <v>66</v>
      </c>
      <c r="AI54" s="10" t="s">
        <v>66</v>
      </c>
      <c r="AJ54" s="10" t="s">
        <v>61</v>
      </c>
      <c r="AK54" s="10" t="s">
        <v>61</v>
      </c>
      <c r="AL54" s="10" t="s">
        <v>61</v>
      </c>
      <c r="AM54" s="10" t="s">
        <v>66</v>
      </c>
      <c r="AN54" s="10" t="s">
        <v>66</v>
      </c>
      <c r="AO54" s="10" t="s">
        <v>66</v>
      </c>
      <c r="AP54" s="10" t="s">
        <v>66</v>
      </c>
      <c r="AQ54" s="10" t="s">
        <v>66</v>
      </c>
      <c r="AR54" s="10" t="s">
        <v>66</v>
      </c>
      <c r="AS54" s="10" t="s">
        <v>66</v>
      </c>
      <c r="AT54" s="10"/>
      <c r="AU54" s="10" t="s">
        <v>576</v>
      </c>
    </row>
    <row r="55" customFormat="false" ht="15" hidden="false" customHeight="false" outlineLevel="0" collapsed="false">
      <c r="A55" s="4" t="s">
        <v>577</v>
      </c>
      <c r="B55" s="10" t="s">
        <v>578</v>
      </c>
      <c r="C55" s="10" t="n">
        <v>2024</v>
      </c>
      <c r="D55" s="10" t="s">
        <v>579</v>
      </c>
      <c r="E55" s="10" t="s">
        <v>580</v>
      </c>
      <c r="F55" s="10" t="s">
        <v>60</v>
      </c>
      <c r="G55" s="10" t="s">
        <v>581</v>
      </c>
      <c r="H55" s="10" t="s">
        <v>66</v>
      </c>
      <c r="I55" s="10" t="s">
        <v>66</v>
      </c>
      <c r="J55" s="10" t="s">
        <v>61</v>
      </c>
      <c r="K55" s="10" t="s">
        <v>66</v>
      </c>
      <c r="L55" s="10" t="s">
        <v>66</v>
      </c>
      <c r="M55" s="10" t="s">
        <v>61</v>
      </c>
      <c r="N55" s="10" t="s">
        <v>19</v>
      </c>
      <c r="O55" s="10"/>
      <c r="P55" s="10"/>
      <c r="Q55" s="10" t="s">
        <v>582</v>
      </c>
      <c r="R55" s="10" t="s">
        <v>61</v>
      </c>
      <c r="S55" s="10" t="s">
        <v>583</v>
      </c>
      <c r="T55" s="10" t="n">
        <v>1</v>
      </c>
      <c r="U55" s="10" t="s">
        <v>66</v>
      </c>
      <c r="V55" s="10" t="s">
        <v>66</v>
      </c>
      <c r="W55" s="10" t="s">
        <v>241</v>
      </c>
      <c r="X55" s="10"/>
      <c r="Y55" s="10"/>
      <c r="Z55" s="11" t="str">
        <f aca="false">IF(AND(ISNUMBER(X55),ISNUMBER(Y55),X55&gt;0),1-Y55/X55,"")</f>
        <v/>
      </c>
      <c r="AA55" s="10" t="s">
        <v>192</v>
      </c>
      <c r="AB55" s="10" t="s">
        <v>193</v>
      </c>
      <c r="AC55" s="10" t="s">
        <v>66</v>
      </c>
      <c r="AD55" s="10" t="s">
        <v>61</v>
      </c>
      <c r="AE55" s="10" t="n">
        <v>99</v>
      </c>
      <c r="AF55" s="12" t="str">
        <f aca="false">IF(ISNUMBER(AE55),IF(AE55&gt;99,"Y","N"),"")</f>
        <v>N</v>
      </c>
      <c r="AG55" s="10" t="s">
        <v>66</v>
      </c>
      <c r="AH55" s="10" t="s">
        <v>66</v>
      </c>
      <c r="AI55" s="10" t="s">
        <v>66</v>
      </c>
      <c r="AJ55" s="10" t="s">
        <v>61</v>
      </c>
      <c r="AK55" s="10" t="s">
        <v>66</v>
      </c>
      <c r="AL55" s="10" t="s">
        <v>66</v>
      </c>
      <c r="AM55" s="10" t="s">
        <v>66</v>
      </c>
      <c r="AN55" s="10" t="s">
        <v>66</v>
      </c>
      <c r="AO55" s="10" t="s">
        <v>66</v>
      </c>
      <c r="AP55" s="10" t="s">
        <v>66</v>
      </c>
      <c r="AQ55" s="10" t="s">
        <v>61</v>
      </c>
      <c r="AR55" s="10" t="s">
        <v>61</v>
      </c>
      <c r="AS55" s="10" t="s">
        <v>66</v>
      </c>
      <c r="AT55" s="10"/>
      <c r="AU55" s="10" t="s">
        <v>584</v>
      </c>
    </row>
    <row r="56" customFormat="false" ht="15" hidden="false" customHeight="false" outlineLevel="0" collapsed="false">
      <c r="A56" s="4" t="s">
        <v>585</v>
      </c>
      <c r="B56" s="10" t="s">
        <v>586</v>
      </c>
      <c r="C56" s="10" t="n">
        <v>2024</v>
      </c>
      <c r="D56" s="10" t="s">
        <v>587</v>
      </c>
      <c r="E56" s="10" t="s">
        <v>478</v>
      </c>
      <c r="F56" s="10" t="s">
        <v>60</v>
      </c>
      <c r="G56" s="10" t="s">
        <v>588</v>
      </c>
      <c r="H56" s="10" t="s">
        <v>61</v>
      </c>
      <c r="I56" s="10" t="s">
        <v>66</v>
      </c>
      <c r="J56" s="10" t="s">
        <v>61</v>
      </c>
      <c r="K56" s="10" t="s">
        <v>61</v>
      </c>
      <c r="L56" s="10" t="s">
        <v>66</v>
      </c>
      <c r="M56" s="10" t="s">
        <v>61</v>
      </c>
      <c r="N56" s="10" t="s">
        <v>208</v>
      </c>
      <c r="O56" s="10"/>
      <c r="P56" s="10"/>
      <c r="Q56" s="10" t="s">
        <v>589</v>
      </c>
      <c r="R56" s="10" t="s">
        <v>66</v>
      </c>
      <c r="S56" s="10" t="s">
        <v>590</v>
      </c>
      <c r="T56" s="10" t="n">
        <v>2</v>
      </c>
      <c r="U56" s="10" t="s">
        <v>66</v>
      </c>
      <c r="V56" s="10" t="s">
        <v>66</v>
      </c>
      <c r="W56" s="10" t="s">
        <v>65</v>
      </c>
      <c r="X56" s="10"/>
      <c r="Y56" s="10"/>
      <c r="Z56" s="11" t="str">
        <f aca="false">IF(AND(ISNUMBER(X56),ISNUMBER(Y56),X56&gt;0),1-Y56/X56,"")</f>
        <v/>
      </c>
      <c r="AA56" s="10" t="s">
        <v>202</v>
      </c>
      <c r="AB56" s="10" t="s">
        <v>61</v>
      </c>
      <c r="AC56" s="10" t="s">
        <v>61</v>
      </c>
      <c r="AD56" s="10" t="s">
        <v>61</v>
      </c>
      <c r="AE56" s="10" t="n">
        <v>99.7</v>
      </c>
      <c r="AF56" s="12" t="str">
        <f aca="false">IF(ISNUMBER(AE56),IF(AE56&gt;99,"Y","N"),"")</f>
        <v>Y</v>
      </c>
      <c r="AG56" s="10" t="s">
        <v>61</v>
      </c>
      <c r="AH56" s="10" t="s">
        <v>66</v>
      </c>
      <c r="AI56" s="10" t="s">
        <v>61</v>
      </c>
      <c r="AJ56" s="10" t="s">
        <v>61</v>
      </c>
      <c r="AK56" s="10" t="s">
        <v>61</v>
      </c>
      <c r="AL56" s="10" t="s">
        <v>61</v>
      </c>
      <c r="AM56" s="10" t="s">
        <v>66</v>
      </c>
      <c r="AN56" s="10" t="s">
        <v>66</v>
      </c>
      <c r="AO56" s="10" t="s">
        <v>66</v>
      </c>
      <c r="AP56" s="10" t="s">
        <v>66</v>
      </c>
      <c r="AQ56" s="10" t="s">
        <v>61</v>
      </c>
      <c r="AR56" s="10" t="s">
        <v>61</v>
      </c>
      <c r="AS56" s="10" t="s">
        <v>66</v>
      </c>
      <c r="AT56" s="10"/>
      <c r="AU56" s="10" t="s">
        <v>591</v>
      </c>
    </row>
    <row r="57" customFormat="false" ht="15" hidden="false" customHeight="false" outlineLevel="0" collapsed="false">
      <c r="A57" s="4" t="s">
        <v>592</v>
      </c>
      <c r="B57" s="10" t="s">
        <v>593</v>
      </c>
      <c r="C57" s="10" t="n">
        <v>2024</v>
      </c>
      <c r="D57" s="10" t="s">
        <v>594</v>
      </c>
      <c r="E57" s="10" t="s">
        <v>392</v>
      </c>
      <c r="F57" s="10" t="s">
        <v>60</v>
      </c>
      <c r="G57" s="10"/>
      <c r="H57" s="10" t="s">
        <v>66</v>
      </c>
      <c r="I57" s="10" t="s">
        <v>66</v>
      </c>
      <c r="J57" s="10" t="s">
        <v>61</v>
      </c>
      <c r="K57" s="10" t="s">
        <v>66</v>
      </c>
      <c r="L57" s="10" t="s">
        <v>66</v>
      </c>
      <c r="M57" s="10" t="s">
        <v>66</v>
      </c>
      <c r="N57" s="10" t="s">
        <v>208</v>
      </c>
      <c r="O57" s="10"/>
      <c r="P57" s="10"/>
      <c r="Q57" s="10" t="s">
        <v>595</v>
      </c>
      <c r="R57" s="10" t="s">
        <v>61</v>
      </c>
      <c r="S57" s="10" t="s">
        <v>596</v>
      </c>
      <c r="T57" s="10" t="n">
        <v>4</v>
      </c>
      <c r="U57" s="10" t="s">
        <v>66</v>
      </c>
      <c r="V57" s="10" t="s">
        <v>66</v>
      </c>
      <c r="W57" s="10" t="s">
        <v>201</v>
      </c>
      <c r="X57" s="10"/>
      <c r="Y57" s="10"/>
      <c r="Z57" s="11" t="str">
        <f aca="false">IF(AND(ISNUMBER(X57),ISNUMBER(Y57),X57&gt;0),1-Y57/X57,"")</f>
        <v/>
      </c>
      <c r="AA57" s="10" t="s">
        <v>192</v>
      </c>
      <c r="AB57" s="10" t="s">
        <v>193</v>
      </c>
      <c r="AC57" s="10" t="s">
        <v>66</v>
      </c>
      <c r="AD57" s="10" t="s">
        <v>66</v>
      </c>
      <c r="AE57" s="10" t="n">
        <v>99.77</v>
      </c>
      <c r="AF57" s="12" t="str">
        <f aca="false">IF(ISNUMBER(AE57),IF(AE57&gt;99,"Y","N"),"")</f>
        <v>Y</v>
      </c>
      <c r="AG57" s="10" t="s">
        <v>61</v>
      </c>
      <c r="AH57" s="10" t="s">
        <v>66</v>
      </c>
      <c r="AI57" s="10" t="s">
        <v>66</v>
      </c>
      <c r="AJ57" s="10" t="s">
        <v>66</v>
      </c>
      <c r="AK57" s="10" t="s">
        <v>66</v>
      </c>
      <c r="AL57" s="10" t="s">
        <v>66</v>
      </c>
      <c r="AM57" s="10" t="s">
        <v>66</v>
      </c>
      <c r="AN57" s="10" t="s">
        <v>66</v>
      </c>
      <c r="AO57" s="10" t="s">
        <v>66</v>
      </c>
      <c r="AP57" s="10" t="s">
        <v>66</v>
      </c>
      <c r="AQ57" s="10" t="s">
        <v>66</v>
      </c>
      <c r="AR57" s="10" t="s">
        <v>66</v>
      </c>
      <c r="AS57" s="10" t="s">
        <v>66</v>
      </c>
      <c r="AT57" s="10"/>
      <c r="AU57" s="10" t="s">
        <v>597</v>
      </c>
    </row>
    <row r="58" customFormat="false" ht="15" hidden="false" customHeight="false" outlineLevel="0" collapsed="false">
      <c r="A58" s="4" t="s">
        <v>598</v>
      </c>
      <c r="B58" s="10" t="s">
        <v>599</v>
      </c>
      <c r="C58" s="10" t="n">
        <v>2024</v>
      </c>
      <c r="D58" s="10" t="s">
        <v>600</v>
      </c>
      <c r="E58" s="10" t="s">
        <v>601</v>
      </c>
      <c r="F58" s="10" t="s">
        <v>60</v>
      </c>
      <c r="G58" s="10" t="s">
        <v>602</v>
      </c>
      <c r="H58" s="10" t="s">
        <v>66</v>
      </c>
      <c r="I58" s="10" t="s">
        <v>66</v>
      </c>
      <c r="J58" s="10" t="s">
        <v>61</v>
      </c>
      <c r="K58" s="10" t="s">
        <v>66</v>
      </c>
      <c r="L58" s="10" t="s">
        <v>66</v>
      </c>
      <c r="M58" s="10" t="s">
        <v>66</v>
      </c>
      <c r="N58" s="10" t="s">
        <v>208</v>
      </c>
      <c r="O58" s="10"/>
      <c r="P58" s="10"/>
      <c r="Q58" s="10" t="s">
        <v>603</v>
      </c>
      <c r="R58" s="10" t="s">
        <v>61</v>
      </c>
      <c r="S58" s="10" t="s">
        <v>326</v>
      </c>
      <c r="T58" s="10" t="n">
        <v>1</v>
      </c>
      <c r="U58" s="10" t="s">
        <v>61</v>
      </c>
      <c r="V58" s="10" t="s">
        <v>66</v>
      </c>
      <c r="W58" s="10" t="s">
        <v>201</v>
      </c>
      <c r="X58" s="10"/>
      <c r="Y58" s="10"/>
      <c r="Z58" s="11" t="str">
        <f aca="false">IF(AND(ISNUMBER(X58),ISNUMBER(Y58),X58&gt;0),1-Y58/X58,"")</f>
        <v/>
      </c>
      <c r="AA58" s="10" t="s">
        <v>192</v>
      </c>
      <c r="AB58" s="10" t="s">
        <v>193</v>
      </c>
      <c r="AC58" s="10" t="s">
        <v>66</v>
      </c>
      <c r="AD58" s="10" t="s">
        <v>66</v>
      </c>
      <c r="AE58" s="10" t="n">
        <v>92.574</v>
      </c>
      <c r="AF58" s="12" t="str">
        <f aca="false">IF(ISNUMBER(AE58),IF(AE58&gt;99,"Y","N"),"")</f>
        <v>N</v>
      </c>
      <c r="AG58" s="10" t="s">
        <v>61</v>
      </c>
      <c r="AH58" s="10" t="s">
        <v>66</v>
      </c>
      <c r="AI58" s="10" t="s">
        <v>66</v>
      </c>
      <c r="AJ58" s="10" t="s">
        <v>66</v>
      </c>
      <c r="AK58" s="10" t="s">
        <v>61</v>
      </c>
      <c r="AL58" s="10" t="s">
        <v>66</v>
      </c>
      <c r="AM58" s="10" t="s">
        <v>66</v>
      </c>
      <c r="AN58" s="10" t="s">
        <v>66</v>
      </c>
      <c r="AO58" s="10" t="s">
        <v>66</v>
      </c>
      <c r="AP58" s="10" t="s">
        <v>66</v>
      </c>
      <c r="AQ58" s="10" t="s">
        <v>66</v>
      </c>
      <c r="AR58" s="10" t="s">
        <v>66</v>
      </c>
      <c r="AS58" s="10" t="s">
        <v>66</v>
      </c>
      <c r="AT58" s="10"/>
      <c r="AU58" s="10" t="s">
        <v>604</v>
      </c>
    </row>
    <row r="59" customFormat="false" ht="15" hidden="false" customHeight="false" outlineLevel="0" collapsed="false">
      <c r="A59" s="4" t="s">
        <v>605</v>
      </c>
      <c r="B59" s="10" t="s">
        <v>606</v>
      </c>
      <c r="C59" s="10" t="n">
        <v>2024</v>
      </c>
      <c r="D59" s="10" t="s">
        <v>607</v>
      </c>
      <c r="E59" s="10" t="s">
        <v>608</v>
      </c>
      <c r="F59" s="10" t="s">
        <v>60</v>
      </c>
      <c r="G59" s="10" t="s">
        <v>609</v>
      </c>
      <c r="H59" s="10" t="s">
        <v>66</v>
      </c>
      <c r="I59" s="10" t="s">
        <v>61</v>
      </c>
      <c r="J59" s="10" t="s">
        <v>66</v>
      </c>
      <c r="K59" s="10" t="s">
        <v>66</v>
      </c>
      <c r="L59" s="10" t="s">
        <v>66</v>
      </c>
      <c r="M59" s="10" t="s">
        <v>66</v>
      </c>
      <c r="N59" s="10" t="s">
        <v>19</v>
      </c>
      <c r="O59" s="10"/>
      <c r="P59" s="10"/>
      <c r="Q59" s="10" t="s">
        <v>610</v>
      </c>
      <c r="R59" s="10" t="s">
        <v>66</v>
      </c>
      <c r="S59" s="10" t="s">
        <v>64</v>
      </c>
      <c r="T59" s="10" t="n">
        <v>1</v>
      </c>
      <c r="U59" s="10" t="s">
        <v>66</v>
      </c>
      <c r="V59" s="10" t="s">
        <v>66</v>
      </c>
      <c r="W59" s="10"/>
      <c r="X59" s="10" t="n">
        <v>43</v>
      </c>
      <c r="Y59" s="10" t="n">
        <v>20</v>
      </c>
      <c r="Z59" s="11" t="n">
        <f aca="false">IF(AND(ISNUMBER(X59),ISNUMBER(Y59),X59&gt;0),1-Y59/X59,"")</f>
        <v>0.534883720930233</v>
      </c>
      <c r="AA59" s="10" t="s">
        <v>192</v>
      </c>
      <c r="AB59" s="10" t="s">
        <v>193</v>
      </c>
      <c r="AC59" s="10" t="s">
        <v>66</v>
      </c>
      <c r="AD59" s="10" t="s">
        <v>61</v>
      </c>
      <c r="AE59" s="10" t="n">
        <v>95</v>
      </c>
      <c r="AF59" s="12" t="str">
        <f aca="false">IF(ISNUMBER(AE59),IF(AE59&gt;99,"Y","N"),"")</f>
        <v>N</v>
      </c>
      <c r="AG59" s="10" t="s">
        <v>66</v>
      </c>
      <c r="AH59" s="10" t="s">
        <v>66</v>
      </c>
      <c r="AI59" s="10" t="s">
        <v>66</v>
      </c>
      <c r="AJ59" s="10" t="s">
        <v>61</v>
      </c>
      <c r="AK59" s="10" t="s">
        <v>61</v>
      </c>
      <c r="AL59" s="10" t="s">
        <v>66</v>
      </c>
      <c r="AM59" s="10" t="s">
        <v>66</v>
      </c>
      <c r="AN59" s="10" t="s">
        <v>66</v>
      </c>
      <c r="AO59" s="10" t="s">
        <v>66</v>
      </c>
      <c r="AP59" s="10" t="s">
        <v>66</v>
      </c>
      <c r="AQ59" s="10" t="s">
        <v>66</v>
      </c>
      <c r="AR59" s="10" t="s">
        <v>66</v>
      </c>
      <c r="AS59" s="10" t="s">
        <v>66</v>
      </c>
      <c r="AT59" s="10"/>
      <c r="AU59" s="10" t="s">
        <v>611</v>
      </c>
    </row>
    <row r="60" customFormat="false" ht="15" hidden="false" customHeight="false" outlineLevel="0" collapsed="false">
      <c r="A60" s="4" t="s">
        <v>612</v>
      </c>
      <c r="B60" s="10" t="s">
        <v>613</v>
      </c>
      <c r="C60" s="10" t="n">
        <v>2024</v>
      </c>
      <c r="D60" s="10" t="s">
        <v>614</v>
      </c>
      <c r="E60" s="10" t="s">
        <v>392</v>
      </c>
      <c r="F60" s="10" t="s">
        <v>60</v>
      </c>
      <c r="G60" s="10"/>
      <c r="H60" s="10" t="s">
        <v>61</v>
      </c>
      <c r="I60" s="10" t="s">
        <v>66</v>
      </c>
      <c r="J60" s="10" t="s">
        <v>61</v>
      </c>
      <c r="K60" s="10" t="s">
        <v>61</v>
      </c>
      <c r="L60" s="10" t="s">
        <v>61</v>
      </c>
      <c r="M60" s="10" t="s">
        <v>66</v>
      </c>
      <c r="N60" s="10" t="s">
        <v>208</v>
      </c>
      <c r="O60" s="10"/>
      <c r="P60" s="10"/>
      <c r="Q60" s="10" t="s">
        <v>615</v>
      </c>
      <c r="R60" s="10" t="s">
        <v>61</v>
      </c>
      <c r="S60" s="10" t="s">
        <v>64</v>
      </c>
      <c r="T60" s="10" t="n">
        <v>1</v>
      </c>
      <c r="U60" s="10" t="s">
        <v>66</v>
      </c>
      <c r="V60" s="10" t="s">
        <v>66</v>
      </c>
      <c r="W60" s="10" t="s">
        <v>65</v>
      </c>
      <c r="X60" s="10"/>
      <c r="Y60" s="10"/>
      <c r="Z60" s="11" t="str">
        <f aca="false">IF(AND(ISNUMBER(X60),ISNUMBER(Y60),X60&gt;0),1-Y60/X60,"")</f>
        <v/>
      </c>
      <c r="AA60" s="10" t="s">
        <v>202</v>
      </c>
      <c r="AB60" s="10" t="s">
        <v>193</v>
      </c>
      <c r="AC60" s="10" t="s">
        <v>66</v>
      </c>
      <c r="AD60" s="10" t="s">
        <v>66</v>
      </c>
      <c r="AE60" s="10" t="n">
        <v>96</v>
      </c>
      <c r="AF60" s="12" t="str">
        <f aca="false">IF(ISNUMBER(AE60),IF(AE60&gt;99,"Y","N"),"")</f>
        <v>N</v>
      </c>
      <c r="AG60" s="10" t="s">
        <v>66</v>
      </c>
      <c r="AH60" s="10" t="s">
        <v>66</v>
      </c>
      <c r="AI60" s="10" t="s">
        <v>66</v>
      </c>
      <c r="AJ60" s="10" t="s">
        <v>61</v>
      </c>
      <c r="AK60" s="10" t="s">
        <v>66</v>
      </c>
      <c r="AL60" s="10" t="s">
        <v>66</v>
      </c>
      <c r="AM60" s="10" t="s">
        <v>66</v>
      </c>
      <c r="AN60" s="10" t="s">
        <v>66</v>
      </c>
      <c r="AO60" s="10" t="s">
        <v>66</v>
      </c>
      <c r="AP60" s="10" t="s">
        <v>66</v>
      </c>
      <c r="AQ60" s="10" t="s">
        <v>66</v>
      </c>
      <c r="AR60" s="10" t="s">
        <v>66</v>
      </c>
      <c r="AS60" s="10" t="s">
        <v>66</v>
      </c>
      <c r="AT60" s="10"/>
      <c r="AU60" s="10" t="s">
        <v>616</v>
      </c>
    </row>
    <row r="61" customFormat="false" ht="15" hidden="false" customHeight="false" outlineLevel="0" collapsed="false">
      <c r="A61" s="4" t="s">
        <v>617</v>
      </c>
      <c r="B61" s="10" t="s">
        <v>618</v>
      </c>
      <c r="C61" s="10" t="n">
        <v>2024</v>
      </c>
      <c r="D61" s="10" t="s">
        <v>619</v>
      </c>
      <c r="E61" s="10" t="s">
        <v>620</v>
      </c>
      <c r="F61" s="10" t="s">
        <v>60</v>
      </c>
      <c r="G61" s="10" t="s">
        <v>621</v>
      </c>
      <c r="H61" s="10" t="s">
        <v>66</v>
      </c>
      <c r="I61" s="10" t="s">
        <v>66</v>
      </c>
      <c r="J61" s="10" t="s">
        <v>61</v>
      </c>
      <c r="K61" s="10" t="s">
        <v>66</v>
      </c>
      <c r="L61" s="10" t="s">
        <v>66</v>
      </c>
      <c r="M61" s="10" t="s">
        <v>66</v>
      </c>
      <c r="N61" s="10" t="s">
        <v>208</v>
      </c>
      <c r="O61" s="10"/>
      <c r="P61" s="10"/>
      <c r="Q61" s="10" t="s">
        <v>434</v>
      </c>
      <c r="R61" s="10" t="s">
        <v>61</v>
      </c>
      <c r="S61" s="10" t="s">
        <v>296</v>
      </c>
      <c r="T61" s="10" t="n">
        <v>1</v>
      </c>
      <c r="U61" s="10" t="s">
        <v>66</v>
      </c>
      <c r="V61" s="10" t="s">
        <v>66</v>
      </c>
      <c r="W61" s="10" t="s">
        <v>201</v>
      </c>
      <c r="X61" s="10"/>
      <c r="Y61" s="10"/>
      <c r="Z61" s="11" t="str">
        <f aca="false">IF(AND(ISNUMBER(X61),ISNUMBER(Y61),X61&gt;0),1-Y61/X61,"")</f>
        <v/>
      </c>
      <c r="AA61" s="10" t="s">
        <v>192</v>
      </c>
      <c r="AB61" s="10" t="s">
        <v>193</v>
      </c>
      <c r="AC61" s="10" t="s">
        <v>66</v>
      </c>
      <c r="AD61" s="10" t="s">
        <v>66</v>
      </c>
      <c r="AE61" s="10"/>
      <c r="AF61" s="12" t="str">
        <f aca="false">IF(ISNUMBER(AE61),IF(AE61&gt;99,"Y","N"),"")</f>
        <v/>
      </c>
      <c r="AG61" s="10" t="s">
        <v>66</v>
      </c>
      <c r="AH61" s="10" t="s">
        <v>66</v>
      </c>
      <c r="AI61" s="10" t="s">
        <v>66</v>
      </c>
      <c r="AJ61" s="10" t="s">
        <v>66</v>
      </c>
      <c r="AK61" s="10" t="s">
        <v>66</v>
      </c>
      <c r="AL61" s="10" t="s">
        <v>66</v>
      </c>
      <c r="AM61" s="10" t="s">
        <v>66</v>
      </c>
      <c r="AN61" s="10" t="s">
        <v>66</v>
      </c>
      <c r="AO61" s="10" t="s">
        <v>66</v>
      </c>
      <c r="AP61" s="10" t="s">
        <v>66</v>
      </c>
      <c r="AQ61" s="10" t="s">
        <v>66</v>
      </c>
      <c r="AR61" s="10" t="s">
        <v>66</v>
      </c>
      <c r="AS61" s="10" t="s">
        <v>66</v>
      </c>
      <c r="AT61" s="10"/>
      <c r="AU61" s="10" t="s">
        <v>622</v>
      </c>
    </row>
    <row r="62" customFormat="false" ht="15" hidden="false" customHeight="false" outlineLevel="0" collapsed="false">
      <c r="A62" s="4" t="s">
        <v>623</v>
      </c>
      <c r="B62" s="10" t="s">
        <v>624</v>
      </c>
      <c r="C62" s="10" t="n">
        <v>2024</v>
      </c>
      <c r="D62" s="10" t="s">
        <v>625</v>
      </c>
      <c r="E62" s="10" t="s">
        <v>626</v>
      </c>
      <c r="F62" s="10" t="s">
        <v>60</v>
      </c>
      <c r="G62" s="10" t="s">
        <v>627</v>
      </c>
      <c r="H62" s="10" t="s">
        <v>66</v>
      </c>
      <c r="I62" s="10" t="s">
        <v>66</v>
      </c>
      <c r="J62" s="10" t="s">
        <v>61</v>
      </c>
      <c r="K62" s="10" t="s">
        <v>61</v>
      </c>
      <c r="L62" s="10" t="s">
        <v>66</v>
      </c>
      <c r="M62" s="10" t="s">
        <v>66</v>
      </c>
      <c r="N62" s="10" t="s">
        <v>19</v>
      </c>
      <c r="O62" s="10"/>
      <c r="P62" s="10"/>
      <c r="Q62" s="10" t="s">
        <v>532</v>
      </c>
      <c r="R62" s="10" t="s">
        <v>61</v>
      </c>
      <c r="S62" s="10" t="s">
        <v>210</v>
      </c>
      <c r="T62" s="10" t="n">
        <v>1</v>
      </c>
      <c r="U62" s="10" t="s">
        <v>61</v>
      </c>
      <c r="V62" s="10" t="s">
        <v>66</v>
      </c>
      <c r="W62" s="10" t="s">
        <v>65</v>
      </c>
      <c r="X62" s="10"/>
      <c r="Y62" s="10"/>
      <c r="Z62" s="11" t="str">
        <f aca="false">IF(AND(ISNUMBER(X62),ISNUMBER(Y62),X62&gt;0),1-Y62/X62,"")</f>
        <v/>
      </c>
      <c r="AA62" s="10" t="s">
        <v>202</v>
      </c>
      <c r="AB62" s="10" t="s">
        <v>193</v>
      </c>
      <c r="AC62" s="10" t="s">
        <v>66</v>
      </c>
      <c r="AD62" s="10" t="s">
        <v>61</v>
      </c>
      <c r="AE62" s="10" t="n">
        <v>88.05</v>
      </c>
      <c r="AF62" s="12" t="str">
        <f aca="false">IF(ISNUMBER(AE62),IF(AE62&gt;99,"Y","N"),"")</f>
        <v>N</v>
      </c>
      <c r="AG62" s="10" t="s">
        <v>66</v>
      </c>
      <c r="AH62" s="10" t="s">
        <v>61</v>
      </c>
      <c r="AI62" s="10" t="s">
        <v>66</v>
      </c>
      <c r="AJ62" s="10" t="s">
        <v>61</v>
      </c>
      <c r="AK62" s="10" t="s">
        <v>61</v>
      </c>
      <c r="AL62" s="10" t="s">
        <v>61</v>
      </c>
      <c r="AM62" s="10" t="s">
        <v>66</v>
      </c>
      <c r="AN62" s="10" t="s">
        <v>66</v>
      </c>
      <c r="AO62" s="10" t="s">
        <v>66</v>
      </c>
      <c r="AP62" s="10" t="s">
        <v>66</v>
      </c>
      <c r="AQ62" s="10" t="s">
        <v>66</v>
      </c>
      <c r="AR62" s="10" t="s">
        <v>66</v>
      </c>
      <c r="AS62" s="10" t="s">
        <v>66</v>
      </c>
      <c r="AT62" s="10"/>
      <c r="AU62" s="10" t="s">
        <v>628</v>
      </c>
    </row>
    <row r="63" customFormat="false" ht="15" hidden="false" customHeight="false" outlineLevel="0" collapsed="false">
      <c r="A63" s="4" t="s">
        <v>629</v>
      </c>
      <c r="B63" s="10" t="s">
        <v>630</v>
      </c>
      <c r="C63" s="10" t="n">
        <v>2024</v>
      </c>
      <c r="D63" s="10" t="s">
        <v>631</v>
      </c>
      <c r="E63" s="10" t="s">
        <v>376</v>
      </c>
      <c r="F63" s="10" t="s">
        <v>60</v>
      </c>
      <c r="G63" s="10" t="s">
        <v>632</v>
      </c>
      <c r="H63" s="10" t="s">
        <v>61</v>
      </c>
      <c r="I63" s="10" t="s">
        <v>66</v>
      </c>
      <c r="J63" s="10" t="s">
        <v>61</v>
      </c>
      <c r="K63" s="10" t="s">
        <v>61</v>
      </c>
      <c r="L63" s="10" t="s">
        <v>61</v>
      </c>
      <c r="M63" s="10" t="s">
        <v>61</v>
      </c>
      <c r="N63" s="10" t="s">
        <v>20</v>
      </c>
      <c r="O63" s="10"/>
      <c r="P63" s="10"/>
      <c r="Q63" s="10" t="s">
        <v>633</v>
      </c>
      <c r="R63" s="10" t="s">
        <v>61</v>
      </c>
      <c r="S63" s="10" t="s">
        <v>634</v>
      </c>
      <c r="T63" s="10" t="n">
        <v>3</v>
      </c>
      <c r="U63" s="10" t="s">
        <v>66</v>
      </c>
      <c r="V63" s="10" t="s">
        <v>61</v>
      </c>
      <c r="W63" s="10" t="s">
        <v>65</v>
      </c>
      <c r="X63" s="10" t="n">
        <v>8</v>
      </c>
      <c r="Y63" s="10" t="n">
        <v>5</v>
      </c>
      <c r="Z63" s="11" t="n">
        <f aca="false">IF(AND(ISNUMBER(X63),ISNUMBER(Y63),X63&gt;0),1-Y63/X63,"")</f>
        <v>0.375</v>
      </c>
      <c r="AA63" s="10" t="s">
        <v>202</v>
      </c>
      <c r="AB63" s="10" t="s">
        <v>193</v>
      </c>
      <c r="AC63" s="10" t="s">
        <v>66</v>
      </c>
      <c r="AD63" s="10" t="s">
        <v>66</v>
      </c>
      <c r="AE63" s="10" t="n">
        <v>99</v>
      </c>
      <c r="AF63" s="12" t="str">
        <f aca="false">IF(ISNUMBER(AE63),IF(AE63&gt;99,"Y","N"),"")</f>
        <v>N</v>
      </c>
      <c r="AG63" s="10" t="s">
        <v>61</v>
      </c>
      <c r="AH63" s="10" t="s">
        <v>61</v>
      </c>
      <c r="AI63" s="10" t="s">
        <v>66</v>
      </c>
      <c r="AJ63" s="10" t="s">
        <v>66</v>
      </c>
      <c r="AK63" s="10" t="s">
        <v>61</v>
      </c>
      <c r="AL63" s="10" t="s">
        <v>61</v>
      </c>
      <c r="AM63" s="10" t="s">
        <v>66</v>
      </c>
      <c r="AN63" s="10" t="s">
        <v>66</v>
      </c>
      <c r="AO63" s="10" t="s">
        <v>66</v>
      </c>
      <c r="AP63" s="10" t="s">
        <v>66</v>
      </c>
      <c r="AQ63" s="10" t="s">
        <v>61</v>
      </c>
      <c r="AR63" s="10" t="s">
        <v>66</v>
      </c>
      <c r="AS63" s="10" t="s">
        <v>66</v>
      </c>
      <c r="AT63" s="10"/>
      <c r="AU63" s="10" t="s">
        <v>635</v>
      </c>
    </row>
    <row r="64" customFormat="false" ht="15" hidden="false" customHeight="false" outlineLevel="0" collapsed="false">
      <c r="A64" s="4" t="s">
        <v>636</v>
      </c>
      <c r="B64" s="10" t="s">
        <v>637</v>
      </c>
      <c r="C64" s="10" t="n">
        <v>2024</v>
      </c>
      <c r="D64" s="10" t="s">
        <v>638</v>
      </c>
      <c r="E64" s="10" t="s">
        <v>639</v>
      </c>
      <c r="F64" s="10" t="s">
        <v>60</v>
      </c>
      <c r="G64" s="10" t="s">
        <v>640</v>
      </c>
      <c r="H64" s="10" t="s">
        <v>61</v>
      </c>
      <c r="I64" s="10" t="s">
        <v>61</v>
      </c>
      <c r="J64" s="10" t="s">
        <v>66</v>
      </c>
      <c r="K64" s="10" t="s">
        <v>61</v>
      </c>
      <c r="L64" s="10" t="s">
        <v>66</v>
      </c>
      <c r="M64" s="10" t="s">
        <v>61</v>
      </c>
      <c r="N64" s="10" t="s">
        <v>279</v>
      </c>
      <c r="O64" s="10"/>
      <c r="P64" s="10"/>
      <c r="Q64" s="10" t="s">
        <v>641</v>
      </c>
      <c r="R64" s="10" t="s">
        <v>61</v>
      </c>
      <c r="S64" s="10" t="s">
        <v>326</v>
      </c>
      <c r="T64" s="10" t="n">
        <v>1</v>
      </c>
      <c r="U64" s="10" t="s">
        <v>61</v>
      </c>
      <c r="V64" s="10" t="s">
        <v>66</v>
      </c>
      <c r="W64" s="10"/>
      <c r="X64" s="10" t="n">
        <v>46</v>
      </c>
      <c r="Y64" s="10" t="n">
        <v>32</v>
      </c>
      <c r="Z64" s="11" t="n">
        <f aca="false">IF(AND(ISNUMBER(X64),ISNUMBER(Y64),X64&gt;0),1-Y64/X64,"")</f>
        <v>0.304347826086957</v>
      </c>
      <c r="AA64" s="10" t="s">
        <v>356</v>
      </c>
      <c r="AB64" s="10" t="s">
        <v>193</v>
      </c>
      <c r="AC64" s="10" t="s">
        <v>66</v>
      </c>
      <c r="AD64" s="10" t="s">
        <v>66</v>
      </c>
      <c r="AE64" s="10" t="n">
        <v>93.47</v>
      </c>
      <c r="AF64" s="12" t="str">
        <f aca="false">IF(ISNUMBER(AE64),IF(AE64&gt;99,"Y","N"),"")</f>
        <v>N</v>
      </c>
      <c r="AG64" s="10" t="s">
        <v>66</v>
      </c>
      <c r="AH64" s="10" t="s">
        <v>61</v>
      </c>
      <c r="AI64" s="10" t="s">
        <v>66</v>
      </c>
      <c r="AJ64" s="10" t="s">
        <v>61</v>
      </c>
      <c r="AK64" s="10" t="s">
        <v>66</v>
      </c>
      <c r="AL64" s="10" t="s">
        <v>66</v>
      </c>
      <c r="AM64" s="10" t="s">
        <v>66</v>
      </c>
      <c r="AN64" s="10" t="s">
        <v>66</v>
      </c>
      <c r="AO64" s="10" t="s">
        <v>66</v>
      </c>
      <c r="AP64" s="10" t="s">
        <v>66</v>
      </c>
      <c r="AQ64" s="10" t="s">
        <v>66</v>
      </c>
      <c r="AR64" s="10" t="s">
        <v>66</v>
      </c>
      <c r="AS64" s="10" t="s">
        <v>66</v>
      </c>
      <c r="AT64" s="10"/>
      <c r="AU64" s="10" t="s">
        <v>642</v>
      </c>
    </row>
    <row r="65" customFormat="false" ht="15" hidden="false" customHeight="false" outlineLevel="0" collapsed="false">
      <c r="A65" s="4" t="s">
        <v>643</v>
      </c>
      <c r="B65" s="10" t="s">
        <v>644</v>
      </c>
      <c r="C65" s="10" t="n">
        <v>2024</v>
      </c>
      <c r="D65" s="10" t="s">
        <v>645</v>
      </c>
      <c r="E65" s="10" t="s">
        <v>646</v>
      </c>
      <c r="F65" s="10" t="s">
        <v>60</v>
      </c>
      <c r="G65" s="10" t="s">
        <v>647</v>
      </c>
      <c r="H65" s="10" t="s">
        <v>61</v>
      </c>
      <c r="I65" s="10" t="s">
        <v>61</v>
      </c>
      <c r="J65" s="10" t="s">
        <v>61</v>
      </c>
      <c r="K65" s="10" t="s">
        <v>66</v>
      </c>
      <c r="L65" s="10" t="s">
        <v>61</v>
      </c>
      <c r="M65" s="10" t="s">
        <v>66</v>
      </c>
      <c r="N65" s="10" t="s">
        <v>208</v>
      </c>
      <c r="O65" s="10"/>
      <c r="P65" s="10"/>
      <c r="Q65" s="10" t="s">
        <v>648</v>
      </c>
      <c r="R65" s="10" t="s">
        <v>61</v>
      </c>
      <c r="S65" s="10" t="s">
        <v>583</v>
      </c>
      <c r="T65" s="10" t="n">
        <v>1</v>
      </c>
      <c r="U65" s="10" t="s">
        <v>66</v>
      </c>
      <c r="V65" s="10" t="s">
        <v>66</v>
      </c>
      <c r="W65" s="10" t="s">
        <v>65</v>
      </c>
      <c r="X65" s="10"/>
      <c r="Y65" s="10"/>
      <c r="Z65" s="11" t="str">
        <f aca="false">IF(AND(ISNUMBER(X65),ISNUMBER(Y65),X65&gt;0),1-Y65/X65,"")</f>
        <v/>
      </c>
      <c r="AA65" s="10" t="s">
        <v>356</v>
      </c>
      <c r="AB65" s="10" t="s">
        <v>193</v>
      </c>
      <c r="AC65" s="10" t="s">
        <v>66</v>
      </c>
      <c r="AD65" s="10" t="s">
        <v>66</v>
      </c>
      <c r="AE65" s="10" t="n">
        <v>99.57</v>
      </c>
      <c r="AF65" s="12" t="str">
        <f aca="false">IF(ISNUMBER(AE65),IF(AE65&gt;99,"Y","N"),"")</f>
        <v>Y</v>
      </c>
      <c r="AG65" s="10" t="s">
        <v>61</v>
      </c>
      <c r="AH65" s="10" t="s">
        <v>66</v>
      </c>
      <c r="AI65" s="10" t="s">
        <v>66</v>
      </c>
      <c r="AJ65" s="10" t="s">
        <v>66</v>
      </c>
      <c r="AK65" s="10" t="s">
        <v>66</v>
      </c>
      <c r="AL65" s="10" t="s">
        <v>66</v>
      </c>
      <c r="AM65" s="10" t="s">
        <v>66</v>
      </c>
      <c r="AN65" s="10" t="s">
        <v>66</v>
      </c>
      <c r="AO65" s="10" t="s">
        <v>66</v>
      </c>
      <c r="AP65" s="10" t="s">
        <v>66</v>
      </c>
      <c r="AQ65" s="10" t="s">
        <v>66</v>
      </c>
      <c r="AR65" s="10" t="s">
        <v>66</v>
      </c>
      <c r="AS65" s="10" t="s">
        <v>66</v>
      </c>
      <c r="AT65" s="10"/>
      <c r="AU65" s="10" t="s">
        <v>649</v>
      </c>
    </row>
    <row r="66" customFormat="false" ht="15" hidden="false" customHeight="false" outlineLevel="0" collapsed="false">
      <c r="A66" s="4" t="s">
        <v>650</v>
      </c>
      <c r="B66" s="10" t="s">
        <v>651</v>
      </c>
      <c r="C66" s="10" t="n">
        <v>2024</v>
      </c>
      <c r="D66" s="10" t="s">
        <v>652</v>
      </c>
      <c r="E66" s="10" t="s">
        <v>653</v>
      </c>
      <c r="F66" s="10" t="s">
        <v>60</v>
      </c>
      <c r="G66" s="10" t="s">
        <v>654</v>
      </c>
      <c r="H66" s="10" t="s">
        <v>61</v>
      </c>
      <c r="I66" s="10" t="s">
        <v>66</v>
      </c>
      <c r="J66" s="10" t="s">
        <v>66</v>
      </c>
      <c r="K66" s="10" t="s">
        <v>61</v>
      </c>
      <c r="L66" s="10" t="s">
        <v>66</v>
      </c>
      <c r="M66" s="10" t="s">
        <v>66</v>
      </c>
      <c r="N66" s="10" t="s">
        <v>16</v>
      </c>
      <c r="O66" s="10"/>
      <c r="P66" s="10"/>
      <c r="Q66" s="10" t="s">
        <v>655</v>
      </c>
      <c r="R66" s="10" t="s">
        <v>61</v>
      </c>
      <c r="S66" s="10" t="s">
        <v>394</v>
      </c>
      <c r="T66" s="10" t="n">
        <v>2</v>
      </c>
      <c r="U66" s="10" t="s">
        <v>66</v>
      </c>
      <c r="V66" s="10" t="s">
        <v>66</v>
      </c>
      <c r="W66" s="10" t="s">
        <v>201</v>
      </c>
      <c r="X66" s="10" t="n">
        <v>10</v>
      </c>
      <c r="Y66" s="10" t="n">
        <v>2</v>
      </c>
      <c r="Z66" s="11" t="n">
        <f aca="false">IF(AND(ISNUMBER(X66),ISNUMBER(Y66),X66&gt;0),1-Y66/X66,"")</f>
        <v>0.8</v>
      </c>
      <c r="AA66" s="10" t="s">
        <v>202</v>
      </c>
      <c r="AB66" s="10" t="s">
        <v>193</v>
      </c>
      <c r="AC66" s="10" t="s">
        <v>61</v>
      </c>
      <c r="AD66" s="10" t="s">
        <v>61</v>
      </c>
      <c r="AE66" s="10" t="n">
        <v>99</v>
      </c>
      <c r="AF66" s="12" t="str">
        <f aca="false">IF(ISNUMBER(AE66),IF(AE66&gt;99,"Y","N"),"")</f>
        <v>N</v>
      </c>
      <c r="AG66" s="10" t="s">
        <v>61</v>
      </c>
      <c r="AH66" s="10" t="s">
        <v>61</v>
      </c>
      <c r="AI66" s="10" t="s">
        <v>61</v>
      </c>
      <c r="AJ66" s="10" t="s">
        <v>61</v>
      </c>
      <c r="AK66" s="10" t="s">
        <v>61</v>
      </c>
      <c r="AL66" s="10" t="s">
        <v>61</v>
      </c>
      <c r="AM66" s="10" t="s">
        <v>66</v>
      </c>
      <c r="AN66" s="10" t="s">
        <v>61</v>
      </c>
      <c r="AO66" s="10" t="s">
        <v>66</v>
      </c>
      <c r="AP66" s="10" t="s">
        <v>66</v>
      </c>
      <c r="AQ66" s="10" t="s">
        <v>66</v>
      </c>
      <c r="AR66" s="10" t="s">
        <v>66</v>
      </c>
      <c r="AS66" s="10" t="s">
        <v>66</v>
      </c>
      <c r="AT66" s="10"/>
      <c r="AU66" s="10" t="s">
        <v>656</v>
      </c>
    </row>
    <row r="67" customFormat="false" ht="15" hidden="false" customHeight="false" outlineLevel="0" collapsed="false">
      <c r="A67" s="4" t="s">
        <v>657</v>
      </c>
      <c r="B67" s="10" t="s">
        <v>658</v>
      </c>
      <c r="C67" s="10" t="n">
        <v>2024</v>
      </c>
      <c r="D67" s="10" t="s">
        <v>659</v>
      </c>
      <c r="E67" s="10" t="s">
        <v>660</v>
      </c>
      <c r="F67" s="10" t="s">
        <v>60</v>
      </c>
      <c r="G67" s="10" t="s">
        <v>661</v>
      </c>
      <c r="H67" s="10" t="s">
        <v>61</v>
      </c>
      <c r="I67" s="10" t="s">
        <v>66</v>
      </c>
      <c r="J67" s="10" t="s">
        <v>61</v>
      </c>
      <c r="K67" s="10" t="s">
        <v>66</v>
      </c>
      <c r="L67" s="10" t="s">
        <v>66</v>
      </c>
      <c r="M67" s="10" t="s">
        <v>66</v>
      </c>
      <c r="N67" s="10" t="s">
        <v>16</v>
      </c>
      <c r="O67" s="10"/>
      <c r="P67" s="10"/>
      <c r="Q67" s="10" t="s">
        <v>662</v>
      </c>
      <c r="R67" s="10" t="s">
        <v>66</v>
      </c>
      <c r="S67" s="10" t="s">
        <v>200</v>
      </c>
      <c r="T67" s="10" t="n">
        <v>1</v>
      </c>
      <c r="U67" s="10" t="s">
        <v>61</v>
      </c>
      <c r="V67" s="10" t="s">
        <v>66</v>
      </c>
      <c r="W67" s="10" t="s">
        <v>65</v>
      </c>
      <c r="X67" s="10"/>
      <c r="Y67" s="10"/>
      <c r="Z67" s="11" t="str">
        <f aca="false">IF(AND(ISNUMBER(X67),ISNUMBER(Y67),X67&gt;0),1-Y67/X67,"")</f>
        <v/>
      </c>
      <c r="AA67" s="10" t="s">
        <v>202</v>
      </c>
      <c r="AB67" s="10" t="s">
        <v>193</v>
      </c>
      <c r="AC67" s="10" t="s">
        <v>66</v>
      </c>
      <c r="AD67" s="10" t="s">
        <v>61</v>
      </c>
      <c r="AE67" s="10" t="n">
        <v>99</v>
      </c>
      <c r="AF67" s="12" t="str">
        <f aca="false">IF(ISNUMBER(AE67),IF(AE67&gt;99,"Y","N"),"")</f>
        <v>N</v>
      </c>
      <c r="AG67" s="10" t="s">
        <v>66</v>
      </c>
      <c r="AH67" s="10" t="s">
        <v>66</v>
      </c>
      <c r="AI67" s="10" t="s">
        <v>66</v>
      </c>
      <c r="AJ67" s="10" t="s">
        <v>66</v>
      </c>
      <c r="AK67" s="10" t="s">
        <v>61</v>
      </c>
      <c r="AL67" s="10" t="s">
        <v>66</v>
      </c>
      <c r="AM67" s="10" t="s">
        <v>66</v>
      </c>
      <c r="AN67" s="10" t="s">
        <v>66</v>
      </c>
      <c r="AO67" s="10" t="s">
        <v>66</v>
      </c>
      <c r="AP67" s="10" t="s">
        <v>66</v>
      </c>
      <c r="AQ67" s="10" t="s">
        <v>66</v>
      </c>
      <c r="AR67" s="10" t="s">
        <v>66</v>
      </c>
      <c r="AS67" s="10" t="s">
        <v>66</v>
      </c>
      <c r="AT67" s="10"/>
      <c r="AU67" s="10" t="s">
        <v>663</v>
      </c>
    </row>
    <row r="68" customFormat="false" ht="15" hidden="false" customHeight="false" outlineLevel="0" collapsed="false">
      <c r="A68" s="4" t="s">
        <v>664</v>
      </c>
      <c r="B68" s="10" t="s">
        <v>665</v>
      </c>
      <c r="C68" s="10" t="n">
        <v>2024</v>
      </c>
      <c r="D68" s="10" t="s">
        <v>666</v>
      </c>
      <c r="E68" s="10" t="s">
        <v>667</v>
      </c>
      <c r="F68" s="10" t="s">
        <v>60</v>
      </c>
      <c r="G68" s="10" t="s">
        <v>668</v>
      </c>
      <c r="H68" s="10" t="s">
        <v>66</v>
      </c>
      <c r="I68" s="10" t="s">
        <v>66</v>
      </c>
      <c r="J68" s="10" t="s">
        <v>61</v>
      </c>
      <c r="K68" s="10" t="s">
        <v>66</v>
      </c>
      <c r="L68" s="10" t="s">
        <v>66</v>
      </c>
      <c r="M68" s="10" t="s">
        <v>66</v>
      </c>
      <c r="N68" s="10" t="s">
        <v>208</v>
      </c>
      <c r="O68" s="10"/>
      <c r="P68" s="10"/>
      <c r="Q68" s="10" t="s">
        <v>311</v>
      </c>
      <c r="R68" s="10" t="s">
        <v>61</v>
      </c>
      <c r="S68" s="10" t="s">
        <v>326</v>
      </c>
      <c r="T68" s="10" t="n">
        <v>1</v>
      </c>
      <c r="U68" s="10" t="s">
        <v>61</v>
      </c>
      <c r="V68" s="10" t="s">
        <v>66</v>
      </c>
      <c r="W68" s="10" t="s">
        <v>65</v>
      </c>
      <c r="X68" s="10" t="n">
        <v>32</v>
      </c>
      <c r="Y68" s="10" t="n">
        <v>10</v>
      </c>
      <c r="Z68" s="11" t="n">
        <f aca="false">IF(AND(ISNUMBER(X68),ISNUMBER(Y68),X68&gt;0),1-Y68/X68,"")</f>
        <v>0.6875</v>
      </c>
      <c r="AA68" s="10" t="s">
        <v>192</v>
      </c>
      <c r="AB68" s="10" t="s">
        <v>193</v>
      </c>
      <c r="AC68" s="10" t="s">
        <v>66</v>
      </c>
      <c r="AD68" s="10" t="s">
        <v>61</v>
      </c>
      <c r="AE68" s="10" t="n">
        <v>98</v>
      </c>
      <c r="AF68" s="12" t="str">
        <f aca="false">IF(ISNUMBER(AE68),IF(AE68&gt;99,"Y","N"),"")</f>
        <v>N</v>
      </c>
      <c r="AG68" s="10" t="s">
        <v>61</v>
      </c>
      <c r="AH68" s="10" t="s">
        <v>66</v>
      </c>
      <c r="AI68" s="10" t="s">
        <v>66</v>
      </c>
      <c r="AJ68" s="10" t="s">
        <v>66</v>
      </c>
      <c r="AK68" s="10" t="s">
        <v>66</v>
      </c>
      <c r="AL68" s="10" t="s">
        <v>66</v>
      </c>
      <c r="AM68" s="10" t="s">
        <v>66</v>
      </c>
      <c r="AN68" s="10" t="s">
        <v>66</v>
      </c>
      <c r="AO68" s="10" t="s">
        <v>66</v>
      </c>
      <c r="AP68" s="10" t="s">
        <v>66</v>
      </c>
      <c r="AQ68" s="10" t="s">
        <v>66</v>
      </c>
      <c r="AR68" s="10" t="s">
        <v>66</v>
      </c>
      <c r="AS68" s="10" t="s">
        <v>66</v>
      </c>
      <c r="AT68" s="10"/>
      <c r="AU68" s="10" t="s">
        <v>669</v>
      </c>
    </row>
    <row r="69" customFormat="false" ht="15" hidden="false" customHeight="false" outlineLevel="0" collapsed="false">
      <c r="A69" s="4" t="s">
        <v>670</v>
      </c>
      <c r="B69" s="10" t="s">
        <v>671</v>
      </c>
      <c r="C69" s="10" t="n">
        <v>2024</v>
      </c>
      <c r="D69" s="10" t="s">
        <v>672</v>
      </c>
      <c r="E69" s="10" t="s">
        <v>673</v>
      </c>
      <c r="F69" s="10" t="s">
        <v>60</v>
      </c>
      <c r="G69" s="10" t="s">
        <v>674</v>
      </c>
      <c r="H69" s="10" t="s">
        <v>66</v>
      </c>
      <c r="I69" s="10" t="s">
        <v>66</v>
      </c>
      <c r="J69" s="10" t="s">
        <v>61</v>
      </c>
      <c r="K69" s="10" t="s">
        <v>66</v>
      </c>
      <c r="L69" s="10" t="s">
        <v>66</v>
      </c>
      <c r="M69" s="10" t="s">
        <v>66</v>
      </c>
      <c r="N69" s="10" t="s">
        <v>208</v>
      </c>
      <c r="O69" s="10"/>
      <c r="P69" s="10"/>
      <c r="Q69" s="10" t="s">
        <v>675</v>
      </c>
      <c r="R69" s="10" t="s">
        <v>61</v>
      </c>
      <c r="S69" s="10" t="s">
        <v>326</v>
      </c>
      <c r="T69" s="10" t="n">
        <v>1</v>
      </c>
      <c r="U69" s="10" t="s">
        <v>61</v>
      </c>
      <c r="V69" s="10" t="s">
        <v>66</v>
      </c>
      <c r="W69" s="10" t="s">
        <v>65</v>
      </c>
      <c r="X69" s="10" t="n">
        <v>32</v>
      </c>
      <c r="Y69" s="10" t="n">
        <v>10</v>
      </c>
      <c r="Z69" s="11" t="n">
        <f aca="false">IF(AND(ISNUMBER(X69),ISNUMBER(Y69),X69&gt;0),1-Y69/X69,"")</f>
        <v>0.6875</v>
      </c>
      <c r="AA69" s="10" t="s">
        <v>192</v>
      </c>
      <c r="AB69" s="10" t="s">
        <v>193</v>
      </c>
      <c r="AC69" s="10" t="s">
        <v>66</v>
      </c>
      <c r="AD69" s="10" t="s">
        <v>66</v>
      </c>
      <c r="AE69" s="10" t="n">
        <v>98</v>
      </c>
      <c r="AF69" s="12" t="str">
        <f aca="false">IF(ISNUMBER(AE69),IF(AE69&gt;99,"Y","N"),"")</f>
        <v>N</v>
      </c>
      <c r="AG69" s="10" t="s">
        <v>61</v>
      </c>
      <c r="AH69" s="10" t="s">
        <v>66</v>
      </c>
      <c r="AI69" s="10" t="s">
        <v>66</v>
      </c>
      <c r="AJ69" s="10" t="s">
        <v>66</v>
      </c>
      <c r="AK69" s="10" t="s">
        <v>66</v>
      </c>
      <c r="AL69" s="10" t="s">
        <v>66</v>
      </c>
      <c r="AM69" s="10" t="s">
        <v>66</v>
      </c>
      <c r="AN69" s="10" t="s">
        <v>66</v>
      </c>
      <c r="AO69" s="10" t="s">
        <v>66</v>
      </c>
      <c r="AP69" s="10" t="s">
        <v>66</v>
      </c>
      <c r="AQ69" s="10" t="s">
        <v>66</v>
      </c>
      <c r="AR69" s="10" t="s">
        <v>66</v>
      </c>
      <c r="AS69" s="10" t="s">
        <v>66</v>
      </c>
      <c r="AT69" s="10"/>
      <c r="AU69" s="10" t="s">
        <v>676</v>
      </c>
    </row>
    <row r="70" customFormat="false" ht="15" hidden="false" customHeight="false" outlineLevel="0" collapsed="false">
      <c r="A70" s="4" t="s">
        <v>677</v>
      </c>
      <c r="B70" s="10" t="s">
        <v>678</v>
      </c>
      <c r="C70" s="10" t="n">
        <v>2024</v>
      </c>
      <c r="D70" s="10" t="s">
        <v>679</v>
      </c>
      <c r="E70" s="10" t="s">
        <v>680</v>
      </c>
      <c r="F70" s="10" t="s">
        <v>60</v>
      </c>
      <c r="G70" s="10" t="s">
        <v>681</v>
      </c>
      <c r="H70" s="10" t="s">
        <v>61</v>
      </c>
      <c r="I70" s="10" t="s">
        <v>61</v>
      </c>
      <c r="J70" s="10" t="s">
        <v>66</v>
      </c>
      <c r="K70" s="10" t="s">
        <v>66</v>
      </c>
      <c r="L70" s="10" t="s">
        <v>61</v>
      </c>
      <c r="M70" s="10" t="s">
        <v>66</v>
      </c>
      <c r="N70" s="10" t="s">
        <v>20</v>
      </c>
      <c r="O70" s="10"/>
      <c r="P70" s="10"/>
      <c r="Q70" s="10" t="s">
        <v>682</v>
      </c>
      <c r="R70" s="10" t="s">
        <v>66</v>
      </c>
      <c r="S70" s="10" t="s">
        <v>64</v>
      </c>
      <c r="T70" s="10" t="n">
        <v>1</v>
      </c>
      <c r="U70" s="10" t="s">
        <v>66</v>
      </c>
      <c r="V70" s="10" t="s">
        <v>66</v>
      </c>
      <c r="W70" s="10" t="s">
        <v>201</v>
      </c>
      <c r="X70" s="10" t="n">
        <v>42</v>
      </c>
      <c r="Y70" s="10" t="n">
        <v>39</v>
      </c>
      <c r="Z70" s="11" t="n">
        <f aca="false">IF(AND(ISNUMBER(X70),ISNUMBER(Y70),X70&gt;0),1-Y70/X70,"")</f>
        <v>0.0714285714285714</v>
      </c>
      <c r="AA70" s="10" t="s">
        <v>202</v>
      </c>
      <c r="AB70" s="10" t="s">
        <v>193</v>
      </c>
      <c r="AC70" s="10" t="s">
        <v>66</v>
      </c>
      <c r="AD70" s="10" t="s">
        <v>61</v>
      </c>
      <c r="AE70" s="10" t="n">
        <v>97.76</v>
      </c>
      <c r="AF70" s="12" t="str">
        <f aca="false">IF(ISNUMBER(AE70),IF(AE70&gt;99,"Y","N"),"")</f>
        <v>N</v>
      </c>
      <c r="AG70" s="10" t="s">
        <v>66</v>
      </c>
      <c r="AH70" s="10" t="s">
        <v>61</v>
      </c>
      <c r="AI70" s="10" t="s">
        <v>66</v>
      </c>
      <c r="AJ70" s="10" t="s">
        <v>61</v>
      </c>
      <c r="AK70" s="10" t="s">
        <v>66</v>
      </c>
      <c r="AL70" s="10" t="s">
        <v>66</v>
      </c>
      <c r="AM70" s="10" t="s">
        <v>66</v>
      </c>
      <c r="AN70" s="10" t="s">
        <v>66</v>
      </c>
      <c r="AO70" s="10" t="s">
        <v>66</v>
      </c>
      <c r="AP70" s="10" t="s">
        <v>66</v>
      </c>
      <c r="AQ70" s="10" t="s">
        <v>66</v>
      </c>
      <c r="AR70" s="10" t="s">
        <v>66</v>
      </c>
      <c r="AS70" s="10" t="s">
        <v>66</v>
      </c>
      <c r="AT70" s="10"/>
      <c r="AU70" s="10" t="s">
        <v>683</v>
      </c>
    </row>
    <row r="71" customFormat="false" ht="15" hidden="false" customHeight="false" outlineLevel="0" collapsed="false">
      <c r="A71" s="4" t="s">
        <v>684</v>
      </c>
      <c r="B71" s="10" t="s">
        <v>685</v>
      </c>
      <c r="C71" s="10" t="n">
        <v>2025</v>
      </c>
      <c r="D71" s="10" t="s">
        <v>686</v>
      </c>
      <c r="E71" s="10" t="s">
        <v>687</v>
      </c>
      <c r="F71" s="10" t="s">
        <v>60</v>
      </c>
      <c r="G71" s="10" t="s">
        <v>688</v>
      </c>
      <c r="H71" s="10" t="s">
        <v>61</v>
      </c>
      <c r="I71" s="10" t="s">
        <v>66</v>
      </c>
      <c r="J71" s="10" t="s">
        <v>61</v>
      </c>
      <c r="K71" s="10" t="s">
        <v>66</v>
      </c>
      <c r="L71" s="10" t="s">
        <v>66</v>
      </c>
      <c r="M71" s="10" t="s">
        <v>61</v>
      </c>
      <c r="N71" s="10" t="s">
        <v>16</v>
      </c>
      <c r="O71" s="10"/>
      <c r="P71" s="10"/>
      <c r="Q71" s="10" t="s">
        <v>689</v>
      </c>
      <c r="R71" s="10" t="s">
        <v>61</v>
      </c>
      <c r="S71" s="10" t="s">
        <v>690</v>
      </c>
      <c r="T71" s="10" t="n">
        <v>1</v>
      </c>
      <c r="U71" s="10" t="s">
        <v>66</v>
      </c>
      <c r="V71" s="10" t="s">
        <v>66</v>
      </c>
      <c r="W71" s="10" t="s">
        <v>241</v>
      </c>
      <c r="X71" s="10"/>
      <c r="Y71" s="10"/>
      <c r="Z71" s="11" t="str">
        <f aca="false">IF(AND(ISNUMBER(X71),ISNUMBER(Y71),X71&gt;0),1-Y71/X71,"")</f>
        <v/>
      </c>
      <c r="AA71" s="10" t="s">
        <v>192</v>
      </c>
      <c r="AB71" s="10" t="s">
        <v>193</v>
      </c>
      <c r="AC71" s="10" t="s">
        <v>66</v>
      </c>
      <c r="AD71" s="10" t="s">
        <v>66</v>
      </c>
      <c r="AE71" s="10" t="n">
        <v>99.48</v>
      </c>
      <c r="AF71" s="12" t="str">
        <f aca="false">IF(ISNUMBER(AE71),IF(AE71&gt;99,"Y","N"),"")</f>
        <v>Y</v>
      </c>
      <c r="AG71" s="10" t="s">
        <v>66</v>
      </c>
      <c r="AH71" s="10" t="s">
        <v>66</v>
      </c>
      <c r="AI71" s="10" t="s">
        <v>66</v>
      </c>
      <c r="AJ71" s="10" t="s">
        <v>66</v>
      </c>
      <c r="AK71" s="10" t="s">
        <v>66</v>
      </c>
      <c r="AL71" s="10" t="s">
        <v>66</v>
      </c>
      <c r="AM71" s="10" t="s">
        <v>66</v>
      </c>
      <c r="AN71" s="10" t="s">
        <v>66</v>
      </c>
      <c r="AO71" s="10" t="s">
        <v>66</v>
      </c>
      <c r="AP71" s="10" t="s">
        <v>66</v>
      </c>
      <c r="AQ71" s="10" t="s">
        <v>66</v>
      </c>
      <c r="AR71" s="10" t="s">
        <v>66</v>
      </c>
      <c r="AS71" s="10" t="s">
        <v>66</v>
      </c>
      <c r="AT71" s="10"/>
      <c r="AU71" s="10" t="s">
        <v>691</v>
      </c>
    </row>
    <row r="72" customFormat="false" ht="15" hidden="false" customHeight="false" outlineLevel="0" collapsed="false">
      <c r="A72" s="4" t="s">
        <v>692</v>
      </c>
      <c r="B72" s="10" t="s">
        <v>693</v>
      </c>
      <c r="C72" s="10" t="n">
        <v>2025</v>
      </c>
      <c r="D72" s="10" t="s">
        <v>694</v>
      </c>
      <c r="E72" s="10" t="s">
        <v>695</v>
      </c>
      <c r="F72" s="10" t="s">
        <v>60</v>
      </c>
      <c r="G72" s="10" t="s">
        <v>696</v>
      </c>
      <c r="H72" s="10" t="s">
        <v>66</v>
      </c>
      <c r="I72" s="10" t="s">
        <v>66</v>
      </c>
      <c r="J72" s="10" t="s">
        <v>61</v>
      </c>
      <c r="K72" s="10" t="s">
        <v>61</v>
      </c>
      <c r="L72" s="10" t="s">
        <v>66</v>
      </c>
      <c r="M72" s="10" t="s">
        <v>66</v>
      </c>
      <c r="N72" s="10" t="s">
        <v>208</v>
      </c>
      <c r="O72" s="10"/>
      <c r="P72" s="10"/>
      <c r="Q72" s="10" t="s">
        <v>697</v>
      </c>
      <c r="R72" s="10" t="s">
        <v>61</v>
      </c>
      <c r="S72" s="10" t="s">
        <v>698</v>
      </c>
      <c r="T72" s="10" t="n">
        <v>2</v>
      </c>
      <c r="U72" s="10" t="s">
        <v>66</v>
      </c>
      <c r="V72" s="10" t="s">
        <v>66</v>
      </c>
      <c r="W72" s="10" t="s">
        <v>65</v>
      </c>
      <c r="X72" s="10"/>
      <c r="Y72" s="10"/>
      <c r="Z72" s="11" t="str">
        <f aca="false">IF(AND(ISNUMBER(X72),ISNUMBER(Y72),X72&gt;0),1-Y72/X72,"")</f>
        <v/>
      </c>
      <c r="AA72" s="10" t="s">
        <v>202</v>
      </c>
      <c r="AB72" s="10" t="s">
        <v>193</v>
      </c>
      <c r="AC72" s="10" t="s">
        <v>66</v>
      </c>
      <c r="AD72" s="10" t="s">
        <v>66</v>
      </c>
      <c r="AE72" s="10" t="n">
        <v>99.18</v>
      </c>
      <c r="AF72" s="12" t="str">
        <f aca="false">IF(ISNUMBER(AE72),IF(AE72&gt;99,"Y","N"),"")</f>
        <v>Y</v>
      </c>
      <c r="AG72" s="10" t="s">
        <v>66</v>
      </c>
      <c r="AH72" s="10" t="s">
        <v>61</v>
      </c>
      <c r="AI72" s="10" t="s">
        <v>66</v>
      </c>
      <c r="AJ72" s="10" t="s">
        <v>61</v>
      </c>
      <c r="AK72" s="10" t="s">
        <v>61</v>
      </c>
      <c r="AL72" s="10" t="s">
        <v>66</v>
      </c>
      <c r="AM72" s="10" t="s">
        <v>66</v>
      </c>
      <c r="AN72" s="10" t="s">
        <v>66</v>
      </c>
      <c r="AO72" s="10" t="s">
        <v>66</v>
      </c>
      <c r="AP72" s="10" t="s">
        <v>66</v>
      </c>
      <c r="AQ72" s="10" t="s">
        <v>66</v>
      </c>
      <c r="AR72" s="10" t="s">
        <v>66</v>
      </c>
      <c r="AS72" s="10" t="s">
        <v>66</v>
      </c>
      <c r="AT72" s="10"/>
      <c r="AU72" s="10" t="s">
        <v>699</v>
      </c>
    </row>
    <row r="73" customFormat="false" ht="15" hidden="false" customHeight="false" outlineLevel="0" collapsed="false">
      <c r="A73" s="4" t="s">
        <v>700</v>
      </c>
      <c r="B73" s="10" t="s">
        <v>701</v>
      </c>
      <c r="C73" s="10" t="n">
        <v>2025</v>
      </c>
      <c r="D73" s="10" t="s">
        <v>702</v>
      </c>
      <c r="E73" s="10" t="s">
        <v>703</v>
      </c>
      <c r="F73" s="10" t="s">
        <v>60</v>
      </c>
      <c r="G73" s="10" t="s">
        <v>704</v>
      </c>
      <c r="H73" s="10" t="s">
        <v>61</v>
      </c>
      <c r="I73" s="10" t="s">
        <v>66</v>
      </c>
      <c r="J73" s="10" t="s">
        <v>61</v>
      </c>
      <c r="K73" s="10" t="s">
        <v>61</v>
      </c>
      <c r="L73" s="10" t="s">
        <v>61</v>
      </c>
      <c r="M73" s="10" t="s">
        <v>66</v>
      </c>
      <c r="N73" s="10" t="s">
        <v>208</v>
      </c>
      <c r="O73" s="10"/>
      <c r="P73" s="10"/>
      <c r="Q73" s="10" t="s">
        <v>705</v>
      </c>
      <c r="R73" s="10" t="s">
        <v>66</v>
      </c>
      <c r="S73" s="10" t="s">
        <v>296</v>
      </c>
      <c r="T73" s="10" t="n">
        <v>1</v>
      </c>
      <c r="U73" s="10" t="s">
        <v>66</v>
      </c>
      <c r="V73" s="10" t="s">
        <v>66</v>
      </c>
      <c r="W73" s="10" t="s">
        <v>201</v>
      </c>
      <c r="X73" s="10"/>
      <c r="Y73" s="10" t="n">
        <v>30</v>
      </c>
      <c r="Z73" s="11" t="str">
        <f aca="false">IF(AND(ISNUMBER(X73),ISNUMBER(Y73),X73&gt;0),1-Y73/X73,"")</f>
        <v/>
      </c>
      <c r="AA73" s="10" t="s">
        <v>202</v>
      </c>
      <c r="AB73" s="10" t="s">
        <v>193</v>
      </c>
      <c r="AC73" s="10" t="s">
        <v>66</v>
      </c>
      <c r="AD73" s="10" t="s">
        <v>66</v>
      </c>
      <c r="AE73" s="10" t="n">
        <v>99.9</v>
      </c>
      <c r="AF73" s="12" t="str">
        <f aca="false">IF(ISNUMBER(AE73),IF(AE73&gt;99,"Y","N"),"")</f>
        <v>Y</v>
      </c>
      <c r="AG73" s="10" t="s">
        <v>66</v>
      </c>
      <c r="AH73" s="10" t="s">
        <v>66</v>
      </c>
      <c r="AI73" s="10" t="s">
        <v>61</v>
      </c>
      <c r="AJ73" s="10" t="s">
        <v>66</v>
      </c>
      <c r="AK73" s="10" t="s">
        <v>66</v>
      </c>
      <c r="AL73" s="10" t="s">
        <v>66</v>
      </c>
      <c r="AM73" s="10" t="s">
        <v>66</v>
      </c>
      <c r="AN73" s="10" t="s">
        <v>66</v>
      </c>
      <c r="AO73" s="10" t="s">
        <v>66</v>
      </c>
      <c r="AP73" s="10" t="s">
        <v>66</v>
      </c>
      <c r="AQ73" s="10" t="s">
        <v>61</v>
      </c>
      <c r="AR73" s="10" t="s">
        <v>61</v>
      </c>
      <c r="AS73" s="10" t="s">
        <v>66</v>
      </c>
      <c r="AT73" s="10"/>
      <c r="AU73" s="10" t="s">
        <v>706</v>
      </c>
    </row>
    <row r="74" customFormat="false" ht="15" hidden="false" customHeight="false" outlineLevel="0" collapsed="false">
      <c r="A74" s="4" t="s">
        <v>707</v>
      </c>
      <c r="B74" s="10" t="s">
        <v>708</v>
      </c>
      <c r="C74" s="10" t="n">
        <v>2025</v>
      </c>
      <c r="D74" s="10" t="s">
        <v>709</v>
      </c>
      <c r="E74" s="10" t="s">
        <v>710</v>
      </c>
      <c r="F74" s="10" t="s">
        <v>60</v>
      </c>
      <c r="G74" s="10" t="s">
        <v>711</v>
      </c>
      <c r="H74" s="10" t="s">
        <v>66</v>
      </c>
      <c r="I74" s="10" t="s">
        <v>66</v>
      </c>
      <c r="J74" s="10" t="s">
        <v>61</v>
      </c>
      <c r="K74" s="10" t="s">
        <v>61</v>
      </c>
      <c r="L74" s="10" t="s">
        <v>61</v>
      </c>
      <c r="M74" s="10" t="s">
        <v>61</v>
      </c>
      <c r="N74" s="10" t="s">
        <v>19</v>
      </c>
      <c r="O74" s="10"/>
      <c r="P74" s="10"/>
      <c r="Q74" s="10" t="s">
        <v>712</v>
      </c>
      <c r="R74" s="10" t="s">
        <v>61</v>
      </c>
      <c r="S74" s="10" t="s">
        <v>713</v>
      </c>
      <c r="T74" s="10" t="n">
        <v>2</v>
      </c>
      <c r="U74" s="10" t="s">
        <v>66</v>
      </c>
      <c r="V74" s="10" t="s">
        <v>66</v>
      </c>
      <c r="W74" s="10" t="s">
        <v>65</v>
      </c>
      <c r="X74" s="10"/>
      <c r="Y74" s="10"/>
      <c r="Z74" s="11" t="str">
        <f aca="false">IF(AND(ISNUMBER(X74),ISNUMBER(Y74),X74&gt;0),1-Y74/X74,"")</f>
        <v/>
      </c>
      <c r="AA74" s="10" t="s">
        <v>202</v>
      </c>
      <c r="AB74" s="10" t="s">
        <v>193</v>
      </c>
      <c r="AC74" s="10" t="s">
        <v>66</v>
      </c>
      <c r="AD74" s="10" t="s">
        <v>66</v>
      </c>
      <c r="AE74" s="10" t="n">
        <v>99.995</v>
      </c>
      <c r="AF74" s="12" t="str">
        <f aca="false">IF(ISNUMBER(AE74),IF(AE74&gt;99,"Y","N"),"")</f>
        <v>Y</v>
      </c>
      <c r="AG74" s="10" t="s">
        <v>61</v>
      </c>
      <c r="AH74" s="10" t="s">
        <v>66</v>
      </c>
      <c r="AI74" s="10" t="s">
        <v>66</v>
      </c>
      <c r="AJ74" s="10" t="s">
        <v>61</v>
      </c>
      <c r="AK74" s="10" t="s">
        <v>61</v>
      </c>
      <c r="AL74" s="10" t="s">
        <v>66</v>
      </c>
      <c r="AM74" s="10" t="s">
        <v>66</v>
      </c>
      <c r="AN74" s="10" t="s">
        <v>66</v>
      </c>
      <c r="AO74" s="10" t="s">
        <v>61</v>
      </c>
      <c r="AP74" s="10" t="s">
        <v>66</v>
      </c>
      <c r="AQ74" s="10" t="s">
        <v>66</v>
      </c>
      <c r="AR74" s="10" t="s">
        <v>66</v>
      </c>
      <c r="AS74" s="10" t="s">
        <v>66</v>
      </c>
      <c r="AT74" s="10"/>
      <c r="AU74" s="10" t="s">
        <v>714</v>
      </c>
    </row>
    <row r="75" customFormat="false" ht="15" hidden="false" customHeight="false" outlineLevel="0" collapsed="false">
      <c r="A75" s="4" t="s">
        <v>715</v>
      </c>
      <c r="B75" s="10" t="s">
        <v>716</v>
      </c>
      <c r="C75" s="10" t="n">
        <v>2025</v>
      </c>
      <c r="D75" s="10" t="s">
        <v>717</v>
      </c>
      <c r="E75" s="10" t="s">
        <v>376</v>
      </c>
      <c r="F75" s="10" t="s">
        <v>60</v>
      </c>
      <c r="G75" s="10" t="s">
        <v>718</v>
      </c>
      <c r="H75" s="10" t="s">
        <v>61</v>
      </c>
      <c r="I75" s="10" t="s">
        <v>66</v>
      </c>
      <c r="J75" s="10" t="s">
        <v>66</v>
      </c>
      <c r="K75" s="10" t="s">
        <v>66</v>
      </c>
      <c r="L75" s="10" t="s">
        <v>66</v>
      </c>
      <c r="M75" s="10" t="s">
        <v>61</v>
      </c>
      <c r="N75" s="10" t="s">
        <v>20</v>
      </c>
      <c r="O75" s="10"/>
      <c r="P75" s="10"/>
      <c r="Q75" s="10" t="s">
        <v>434</v>
      </c>
      <c r="R75" s="10" t="s">
        <v>61</v>
      </c>
      <c r="S75" s="10" t="s">
        <v>719</v>
      </c>
      <c r="T75" s="10" t="n">
        <v>1</v>
      </c>
      <c r="U75" s="10" t="s">
        <v>61</v>
      </c>
      <c r="V75" s="10" t="s">
        <v>66</v>
      </c>
      <c r="W75" s="10" t="s">
        <v>65</v>
      </c>
      <c r="X75" s="10" t="n">
        <v>70</v>
      </c>
      <c r="Y75" s="10" t="n">
        <v>25</v>
      </c>
      <c r="Z75" s="11" t="n">
        <f aca="false">IF(AND(ISNUMBER(X75),ISNUMBER(Y75),X75&gt;0),1-Y75/X75,"")</f>
        <v>0.642857142857143</v>
      </c>
      <c r="AA75" s="10" t="s">
        <v>356</v>
      </c>
      <c r="AB75" s="10" t="s">
        <v>193</v>
      </c>
      <c r="AC75" s="10" t="s">
        <v>66</v>
      </c>
      <c r="AD75" s="10" t="s">
        <v>61</v>
      </c>
      <c r="AE75" s="10" t="n">
        <v>98.73</v>
      </c>
      <c r="AF75" s="12" t="str">
        <f aca="false">IF(ISNUMBER(AE75),IF(AE75&gt;99,"Y","N"),"")</f>
        <v>N</v>
      </c>
      <c r="AG75" s="10" t="s">
        <v>66</v>
      </c>
      <c r="AH75" s="10" t="s">
        <v>61</v>
      </c>
      <c r="AI75" s="10" t="s">
        <v>66</v>
      </c>
      <c r="AJ75" s="10" t="s">
        <v>66</v>
      </c>
      <c r="AK75" s="10" t="s">
        <v>66</v>
      </c>
      <c r="AL75" s="10" t="s">
        <v>61</v>
      </c>
      <c r="AM75" s="10" t="s">
        <v>66</v>
      </c>
      <c r="AN75" s="10" t="s">
        <v>66</v>
      </c>
      <c r="AO75" s="10" t="s">
        <v>66</v>
      </c>
      <c r="AP75" s="10" t="s">
        <v>66</v>
      </c>
      <c r="AQ75" s="10" t="s">
        <v>66</v>
      </c>
      <c r="AR75" s="10" t="s">
        <v>66</v>
      </c>
      <c r="AS75" s="10" t="s">
        <v>66</v>
      </c>
      <c r="AT75" s="10"/>
      <c r="AU75" s="10" t="s">
        <v>720</v>
      </c>
    </row>
    <row r="76" customFormat="false" ht="15" hidden="false" customHeight="false" outlineLevel="0" collapsed="false">
      <c r="A76" s="4" t="s">
        <v>721</v>
      </c>
      <c r="B76" s="10" t="s">
        <v>722</v>
      </c>
      <c r="C76" s="10" t="n">
        <v>2025</v>
      </c>
      <c r="D76" s="10" t="s">
        <v>723</v>
      </c>
      <c r="E76" s="10" t="s">
        <v>478</v>
      </c>
      <c r="F76" s="10" t="s">
        <v>60</v>
      </c>
      <c r="G76" s="10" t="s">
        <v>724</v>
      </c>
      <c r="H76" s="10" t="s">
        <v>61</v>
      </c>
      <c r="I76" s="10" t="s">
        <v>66</v>
      </c>
      <c r="J76" s="10" t="s">
        <v>66</v>
      </c>
      <c r="K76" s="10" t="s">
        <v>66</v>
      </c>
      <c r="L76" s="10" t="s">
        <v>66</v>
      </c>
      <c r="M76" s="10" t="s">
        <v>61</v>
      </c>
      <c r="N76" s="10" t="s">
        <v>279</v>
      </c>
      <c r="O76" s="10"/>
      <c r="P76" s="10"/>
      <c r="Q76" s="10" t="s">
        <v>725</v>
      </c>
      <c r="R76" s="10" t="s">
        <v>61</v>
      </c>
      <c r="S76" s="10" t="s">
        <v>726</v>
      </c>
      <c r="T76" s="10" t="n">
        <v>2</v>
      </c>
      <c r="U76" s="10" t="s">
        <v>66</v>
      </c>
      <c r="V76" s="10" t="s">
        <v>66</v>
      </c>
      <c r="W76" s="10" t="s">
        <v>65</v>
      </c>
      <c r="X76" s="10"/>
      <c r="Y76" s="10"/>
      <c r="Z76" s="11" t="str">
        <f aca="false">IF(AND(ISNUMBER(X76),ISNUMBER(Y76),X76&gt;0),1-Y76/X76,"")</f>
        <v/>
      </c>
      <c r="AA76" s="10" t="s">
        <v>202</v>
      </c>
      <c r="AB76" s="10" t="s">
        <v>193</v>
      </c>
      <c r="AC76" s="10" t="s">
        <v>66</v>
      </c>
      <c r="AD76" s="10" t="s">
        <v>66</v>
      </c>
      <c r="AE76" s="10" t="n">
        <v>99.97</v>
      </c>
      <c r="AF76" s="12" t="str">
        <f aca="false">IF(ISNUMBER(AE76),IF(AE76&gt;99,"Y","N"),"")</f>
        <v>Y</v>
      </c>
      <c r="AG76" s="10" t="s">
        <v>61</v>
      </c>
      <c r="AH76" s="10" t="s">
        <v>61</v>
      </c>
      <c r="AI76" s="10" t="s">
        <v>66</v>
      </c>
      <c r="AJ76" s="10" t="s">
        <v>61</v>
      </c>
      <c r="AK76" s="10" t="s">
        <v>61</v>
      </c>
      <c r="AL76" s="10" t="s">
        <v>61</v>
      </c>
      <c r="AM76" s="10" t="s">
        <v>66</v>
      </c>
      <c r="AN76" s="10" t="s">
        <v>66</v>
      </c>
      <c r="AO76" s="10" t="s">
        <v>66</v>
      </c>
      <c r="AP76" s="10" t="s">
        <v>66</v>
      </c>
      <c r="AQ76" s="10" t="s">
        <v>66</v>
      </c>
      <c r="AR76" s="10" t="s">
        <v>66</v>
      </c>
      <c r="AS76" s="10" t="s">
        <v>66</v>
      </c>
      <c r="AT76" s="10"/>
      <c r="AU76" s="10" t="s">
        <v>727</v>
      </c>
    </row>
    <row r="77" customFormat="false" ht="15" hidden="false" customHeight="false" outlineLevel="0" collapsed="false">
      <c r="A77" s="4" t="s">
        <v>728</v>
      </c>
      <c r="B77" s="10" t="s">
        <v>729</v>
      </c>
      <c r="C77" s="10" t="n">
        <v>2025</v>
      </c>
      <c r="D77" s="10" t="s">
        <v>730</v>
      </c>
      <c r="E77" s="10" t="s">
        <v>731</v>
      </c>
      <c r="F77" s="10" t="s">
        <v>60</v>
      </c>
      <c r="G77" s="10" t="s">
        <v>732</v>
      </c>
      <c r="H77" s="10" t="s">
        <v>61</v>
      </c>
      <c r="I77" s="10" t="s">
        <v>61</v>
      </c>
      <c r="J77" s="10" t="s">
        <v>61</v>
      </c>
      <c r="K77" s="10" t="s">
        <v>66</v>
      </c>
      <c r="L77" s="10" t="s">
        <v>61</v>
      </c>
      <c r="M77" s="10" t="s">
        <v>61</v>
      </c>
      <c r="N77" s="10" t="s">
        <v>20</v>
      </c>
      <c r="O77" s="10"/>
      <c r="P77" s="10"/>
      <c r="Q77" s="10" t="s">
        <v>733</v>
      </c>
      <c r="R77" s="10" t="s">
        <v>61</v>
      </c>
      <c r="S77" s="10" t="s">
        <v>734</v>
      </c>
      <c r="T77" s="10" t="n">
        <v>2</v>
      </c>
      <c r="U77" s="10" t="s">
        <v>66</v>
      </c>
      <c r="V77" s="10" t="s">
        <v>61</v>
      </c>
      <c r="W77" s="10" t="s">
        <v>201</v>
      </c>
      <c r="X77" s="10"/>
      <c r="Y77" s="10"/>
      <c r="Z77" s="11" t="str">
        <f aca="false">IF(AND(ISNUMBER(X77),ISNUMBER(Y77),X77&gt;0),1-Y77/X77,"")</f>
        <v/>
      </c>
      <c r="AA77" s="10" t="s">
        <v>202</v>
      </c>
      <c r="AB77" s="10" t="s">
        <v>193</v>
      </c>
      <c r="AC77" s="10" t="s">
        <v>61</v>
      </c>
      <c r="AD77" s="10" t="s">
        <v>61</v>
      </c>
      <c r="AE77" s="10" t="n">
        <v>97.223</v>
      </c>
      <c r="AF77" s="12" t="str">
        <f aca="false">IF(ISNUMBER(AE77),IF(AE77&gt;99,"Y","N"),"")</f>
        <v>N</v>
      </c>
      <c r="AG77" s="10" t="s">
        <v>66</v>
      </c>
      <c r="AH77" s="10" t="s">
        <v>66</v>
      </c>
      <c r="AI77" s="10" t="s">
        <v>66</v>
      </c>
      <c r="AJ77" s="10" t="s">
        <v>61</v>
      </c>
      <c r="AK77" s="10" t="s">
        <v>61</v>
      </c>
      <c r="AL77" s="10" t="s">
        <v>61</v>
      </c>
      <c r="AM77" s="10" t="s">
        <v>61</v>
      </c>
      <c r="AN77" s="10" t="s">
        <v>66</v>
      </c>
      <c r="AO77" s="10" t="s">
        <v>61</v>
      </c>
      <c r="AP77" s="10" t="s">
        <v>66</v>
      </c>
      <c r="AQ77" s="10" t="s">
        <v>66</v>
      </c>
      <c r="AR77" s="10" t="s">
        <v>66</v>
      </c>
      <c r="AS77" s="10" t="s">
        <v>66</v>
      </c>
      <c r="AT77" s="10"/>
      <c r="AU77" s="10" t="s">
        <v>735</v>
      </c>
    </row>
    <row r="78" customFormat="false" ht="15" hidden="false" customHeight="false" outlineLevel="0" collapsed="false">
      <c r="A78" s="4" t="s">
        <v>736</v>
      </c>
      <c r="B78" s="10" t="s">
        <v>737</v>
      </c>
      <c r="C78" s="10" t="n">
        <v>2025</v>
      </c>
      <c r="D78" s="10" t="s">
        <v>738</v>
      </c>
      <c r="E78" s="10" t="s">
        <v>739</v>
      </c>
      <c r="F78" s="10" t="s">
        <v>60</v>
      </c>
      <c r="G78" s="10" t="s">
        <v>740</v>
      </c>
      <c r="H78" s="10" t="s">
        <v>61</v>
      </c>
      <c r="I78" s="10" t="s">
        <v>61</v>
      </c>
      <c r="J78" s="10" t="s">
        <v>61</v>
      </c>
      <c r="K78" s="10" t="s">
        <v>61</v>
      </c>
      <c r="L78" s="10" t="s">
        <v>61</v>
      </c>
      <c r="M78" s="10" t="s">
        <v>66</v>
      </c>
      <c r="N78" s="10" t="s">
        <v>488</v>
      </c>
      <c r="O78" s="10"/>
      <c r="P78" s="10"/>
      <c r="Q78" s="10" t="s">
        <v>741</v>
      </c>
      <c r="R78" s="10" t="s">
        <v>61</v>
      </c>
      <c r="S78" s="10" t="s">
        <v>561</v>
      </c>
      <c r="T78" s="10" t="n">
        <v>1</v>
      </c>
      <c r="U78" s="10" t="s">
        <v>66</v>
      </c>
      <c r="V78" s="10" t="s">
        <v>61</v>
      </c>
      <c r="W78" s="10" t="s">
        <v>201</v>
      </c>
      <c r="X78" s="10"/>
      <c r="Y78" s="10"/>
      <c r="Z78" s="11" t="str">
        <f aca="false">IF(AND(ISNUMBER(X78),ISNUMBER(Y78),X78&gt;0),1-Y78/X78,"")</f>
        <v/>
      </c>
      <c r="AA78" s="10" t="s">
        <v>356</v>
      </c>
      <c r="AB78" s="10" t="s">
        <v>193</v>
      </c>
      <c r="AC78" s="10" t="s">
        <v>66</v>
      </c>
      <c r="AD78" s="10" t="s">
        <v>61</v>
      </c>
      <c r="AE78" s="10" t="n">
        <v>99.99</v>
      </c>
      <c r="AF78" s="12" t="str">
        <f aca="false">IF(ISNUMBER(AE78),IF(AE78&gt;99,"Y","N"),"")</f>
        <v>Y</v>
      </c>
      <c r="AG78" s="10" t="s">
        <v>61</v>
      </c>
      <c r="AH78" s="10" t="s">
        <v>66</v>
      </c>
      <c r="AI78" s="10" t="s">
        <v>66</v>
      </c>
      <c r="AJ78" s="10" t="s">
        <v>61</v>
      </c>
      <c r="AK78" s="10" t="s">
        <v>61</v>
      </c>
      <c r="AL78" s="10" t="s">
        <v>66</v>
      </c>
      <c r="AM78" s="10" t="s">
        <v>66</v>
      </c>
      <c r="AN78" s="10" t="s">
        <v>61</v>
      </c>
      <c r="AO78" s="10" t="s">
        <v>66</v>
      </c>
      <c r="AP78" s="10" t="s">
        <v>61</v>
      </c>
      <c r="AQ78" s="10" t="s">
        <v>66</v>
      </c>
      <c r="AR78" s="10" t="s">
        <v>66</v>
      </c>
      <c r="AS78" s="10" t="s">
        <v>66</v>
      </c>
      <c r="AT78" s="10"/>
      <c r="AU78" s="10" t="s">
        <v>742</v>
      </c>
    </row>
    <row r="79" customFormat="false" ht="15" hidden="false" customHeight="false" outlineLevel="0" collapsed="false">
      <c r="A79" s="4" t="s">
        <v>743</v>
      </c>
      <c r="B79" s="10" t="s">
        <v>744</v>
      </c>
      <c r="C79" s="10" t="n">
        <v>2025</v>
      </c>
      <c r="D79" s="10" t="s">
        <v>745</v>
      </c>
      <c r="E79" s="10" t="s">
        <v>746</v>
      </c>
      <c r="F79" s="10" t="s">
        <v>60</v>
      </c>
      <c r="G79" s="10" t="s">
        <v>747</v>
      </c>
      <c r="H79" s="10" t="s">
        <v>66</v>
      </c>
      <c r="I79" s="10" t="s">
        <v>66</v>
      </c>
      <c r="J79" s="10" t="s">
        <v>61</v>
      </c>
      <c r="K79" s="10" t="s">
        <v>66</v>
      </c>
      <c r="L79" s="10" t="s">
        <v>66</v>
      </c>
      <c r="M79" s="10" t="s">
        <v>61</v>
      </c>
      <c r="N79" s="10" t="s">
        <v>208</v>
      </c>
      <c r="O79" s="10"/>
      <c r="P79" s="10"/>
      <c r="Q79" s="10" t="s">
        <v>748</v>
      </c>
      <c r="R79" s="10" t="s">
        <v>61</v>
      </c>
      <c r="S79" s="10" t="s">
        <v>749</v>
      </c>
      <c r="T79" s="10" t="n">
        <v>2</v>
      </c>
      <c r="U79" s="10" t="s">
        <v>66</v>
      </c>
      <c r="V79" s="10" t="s">
        <v>61</v>
      </c>
      <c r="W79" s="10" t="s">
        <v>65</v>
      </c>
      <c r="X79" s="10"/>
      <c r="Y79" s="10"/>
      <c r="Z79" s="11" t="str">
        <f aca="false">IF(AND(ISNUMBER(X79),ISNUMBER(Y79),X79&gt;0),1-Y79/X79,"")</f>
        <v/>
      </c>
      <c r="AA79" s="10" t="s">
        <v>192</v>
      </c>
      <c r="AB79" s="10" t="s">
        <v>193</v>
      </c>
      <c r="AC79" s="10" t="s">
        <v>66</v>
      </c>
      <c r="AD79" s="10" t="s">
        <v>61</v>
      </c>
      <c r="AE79" s="10" t="n">
        <v>99.5</v>
      </c>
      <c r="AF79" s="12" t="str">
        <f aca="false">IF(ISNUMBER(AE79),IF(AE79&gt;99,"Y","N"),"")</f>
        <v>Y</v>
      </c>
      <c r="AG79" s="10" t="s">
        <v>61</v>
      </c>
      <c r="AH79" s="10" t="s">
        <v>61</v>
      </c>
      <c r="AI79" s="10" t="s">
        <v>66</v>
      </c>
      <c r="AJ79" s="10" t="s">
        <v>61</v>
      </c>
      <c r="AK79" s="10" t="s">
        <v>61</v>
      </c>
      <c r="AL79" s="10" t="s">
        <v>61</v>
      </c>
      <c r="AM79" s="10" t="s">
        <v>66</v>
      </c>
      <c r="AN79" s="10" t="s">
        <v>66</v>
      </c>
      <c r="AO79" s="10" t="s">
        <v>66</v>
      </c>
      <c r="AP79" s="10" t="s">
        <v>66</v>
      </c>
      <c r="AQ79" s="10" t="s">
        <v>61</v>
      </c>
      <c r="AR79" s="10" t="s">
        <v>66</v>
      </c>
      <c r="AS79" s="10" t="s">
        <v>66</v>
      </c>
      <c r="AT79" s="10"/>
      <c r="AU79" s="10" t="s">
        <v>750</v>
      </c>
    </row>
    <row r="80" customFormat="false" ht="15" hidden="false" customHeight="false" outlineLevel="0" collapsed="false">
      <c r="A80" s="4" t="s">
        <v>751</v>
      </c>
      <c r="B80" s="10" t="s">
        <v>752</v>
      </c>
      <c r="C80" s="10" t="n">
        <v>2025</v>
      </c>
      <c r="D80" s="10" t="s">
        <v>753</v>
      </c>
      <c r="E80" s="10" t="s">
        <v>478</v>
      </c>
      <c r="F80" s="10" t="s">
        <v>60</v>
      </c>
      <c r="G80" s="10" t="s">
        <v>754</v>
      </c>
      <c r="H80" s="10" t="s">
        <v>66</v>
      </c>
      <c r="I80" s="10" t="s">
        <v>66</v>
      </c>
      <c r="J80" s="10" t="s">
        <v>61</v>
      </c>
      <c r="K80" s="10" t="s">
        <v>66</v>
      </c>
      <c r="L80" s="10" t="s">
        <v>61</v>
      </c>
      <c r="M80" s="10" t="s">
        <v>61</v>
      </c>
      <c r="N80" s="10" t="s">
        <v>208</v>
      </c>
      <c r="O80" s="10"/>
      <c r="P80" s="10"/>
      <c r="Q80" s="10" t="s">
        <v>755</v>
      </c>
      <c r="R80" s="10" t="s">
        <v>61</v>
      </c>
      <c r="S80" s="10" t="s">
        <v>756</v>
      </c>
      <c r="T80" s="10" t="n">
        <v>1</v>
      </c>
      <c r="U80" s="10" t="s">
        <v>66</v>
      </c>
      <c r="V80" s="10" t="s">
        <v>66</v>
      </c>
      <c r="W80" s="10"/>
      <c r="X80" s="10"/>
      <c r="Y80" s="10"/>
      <c r="Z80" s="11" t="str">
        <f aca="false">IF(AND(ISNUMBER(X80),ISNUMBER(Y80),X80&gt;0),1-Y80/X80,"")</f>
        <v/>
      </c>
      <c r="AA80" s="10" t="s">
        <v>356</v>
      </c>
      <c r="AB80" s="10" t="s">
        <v>193</v>
      </c>
      <c r="AC80" s="10" t="s">
        <v>66</v>
      </c>
      <c r="AD80" s="10" t="s">
        <v>66</v>
      </c>
      <c r="AE80" s="10" t="n">
        <v>99.91</v>
      </c>
      <c r="AF80" s="12" t="str">
        <f aca="false">IF(ISNUMBER(AE80),IF(AE80&gt;99,"Y","N"),"")</f>
        <v>Y</v>
      </c>
      <c r="AG80" s="10" t="s">
        <v>66</v>
      </c>
      <c r="AH80" s="10" t="s">
        <v>61</v>
      </c>
      <c r="AI80" s="10" t="s">
        <v>66</v>
      </c>
      <c r="AJ80" s="10" t="s">
        <v>66</v>
      </c>
      <c r="AK80" s="10" t="s">
        <v>66</v>
      </c>
      <c r="AL80" s="10" t="s">
        <v>66</v>
      </c>
      <c r="AM80" s="10" t="s">
        <v>66</v>
      </c>
      <c r="AN80" s="10" t="s">
        <v>66</v>
      </c>
      <c r="AO80" s="10" t="s">
        <v>66</v>
      </c>
      <c r="AP80" s="10" t="s">
        <v>66</v>
      </c>
      <c r="AQ80" s="10" t="s">
        <v>66</v>
      </c>
      <c r="AR80" s="10" t="s">
        <v>66</v>
      </c>
      <c r="AS80" s="10" t="s">
        <v>66</v>
      </c>
      <c r="AT80" s="10"/>
      <c r="AU80" s="10" t="s">
        <v>757</v>
      </c>
    </row>
    <row r="81" customFormat="false" ht="15" hidden="false" customHeight="false" outlineLevel="0" collapsed="false">
      <c r="A81" s="4" t="s">
        <v>758</v>
      </c>
      <c r="B81" s="10" t="s">
        <v>759</v>
      </c>
      <c r="C81" s="10" t="n">
        <v>2025</v>
      </c>
      <c r="D81" s="10" t="s">
        <v>760</v>
      </c>
      <c r="E81" s="10" t="s">
        <v>761</v>
      </c>
      <c r="F81" s="10" t="s">
        <v>60</v>
      </c>
      <c r="G81" s="10" t="s">
        <v>762</v>
      </c>
      <c r="H81" s="10" t="s">
        <v>61</v>
      </c>
      <c r="I81" s="10" t="s">
        <v>66</v>
      </c>
      <c r="J81" s="10" t="s">
        <v>66</v>
      </c>
      <c r="K81" s="10" t="s">
        <v>61</v>
      </c>
      <c r="L81" s="10" t="s">
        <v>66</v>
      </c>
      <c r="M81" s="10" t="s">
        <v>61</v>
      </c>
      <c r="N81" s="10" t="s">
        <v>19</v>
      </c>
      <c r="O81" s="10"/>
      <c r="P81" s="10"/>
      <c r="Q81" s="10" t="s">
        <v>539</v>
      </c>
      <c r="R81" s="10" t="s">
        <v>61</v>
      </c>
      <c r="S81" s="10" t="s">
        <v>763</v>
      </c>
      <c r="T81" s="10" t="n">
        <v>3</v>
      </c>
      <c r="U81" s="10" t="s">
        <v>66</v>
      </c>
      <c r="V81" s="10" t="s">
        <v>66</v>
      </c>
      <c r="W81" s="10"/>
      <c r="X81" s="10"/>
      <c r="Y81" s="10"/>
      <c r="Z81" s="11" t="str">
        <f aca="false">IF(AND(ISNUMBER(X81),ISNUMBER(Y81),X81&gt;0),1-Y81/X81,"")</f>
        <v/>
      </c>
      <c r="AA81" s="10" t="s">
        <v>192</v>
      </c>
      <c r="AB81" s="10" t="s">
        <v>193</v>
      </c>
      <c r="AC81" s="10" t="s">
        <v>66</v>
      </c>
      <c r="AD81" s="10" t="s">
        <v>66</v>
      </c>
      <c r="AE81" s="10"/>
      <c r="AF81" s="12" t="str">
        <f aca="false">IF(ISNUMBER(AE81),IF(AE81&gt;99,"Y","N"),"")</f>
        <v/>
      </c>
      <c r="AG81" s="10" t="s">
        <v>61</v>
      </c>
      <c r="AH81" s="10" t="s">
        <v>66</v>
      </c>
      <c r="AI81" s="10" t="s">
        <v>66</v>
      </c>
      <c r="AJ81" s="10" t="s">
        <v>66</v>
      </c>
      <c r="AK81" s="10" t="s">
        <v>61</v>
      </c>
      <c r="AL81" s="10" t="s">
        <v>66</v>
      </c>
      <c r="AM81" s="10" t="s">
        <v>66</v>
      </c>
      <c r="AN81" s="10" t="s">
        <v>66</v>
      </c>
      <c r="AO81" s="10" t="s">
        <v>66</v>
      </c>
      <c r="AP81" s="10" t="s">
        <v>66</v>
      </c>
      <c r="AQ81" s="10" t="s">
        <v>66</v>
      </c>
      <c r="AR81" s="10" t="s">
        <v>66</v>
      </c>
      <c r="AS81" s="10" t="s">
        <v>66</v>
      </c>
      <c r="AT81" s="10"/>
      <c r="AU81" s="10" t="s">
        <v>764</v>
      </c>
    </row>
    <row r="82" customFormat="false" ht="15" hidden="false" customHeight="false" outlineLevel="0" collapsed="false">
      <c r="A82" s="4" t="s">
        <v>765</v>
      </c>
      <c r="B82" s="10" t="s">
        <v>766</v>
      </c>
      <c r="C82" s="10" t="n">
        <v>2025</v>
      </c>
      <c r="D82" s="10" t="s">
        <v>767</v>
      </c>
      <c r="E82" s="10" t="s">
        <v>768</v>
      </c>
      <c r="F82" s="10" t="s">
        <v>60</v>
      </c>
      <c r="G82" s="10" t="s">
        <v>769</v>
      </c>
      <c r="H82" s="10" t="s">
        <v>61</v>
      </c>
      <c r="I82" s="10" t="s">
        <v>61</v>
      </c>
      <c r="J82" s="10" t="s">
        <v>61</v>
      </c>
      <c r="K82" s="10" t="s">
        <v>61</v>
      </c>
      <c r="L82" s="10" t="s">
        <v>61</v>
      </c>
      <c r="M82" s="10" t="s">
        <v>66</v>
      </c>
      <c r="N82" s="10" t="s">
        <v>19</v>
      </c>
      <c r="O82" s="10"/>
      <c r="P82" s="10"/>
      <c r="Q82" s="10" t="s">
        <v>770</v>
      </c>
      <c r="R82" s="10" t="s">
        <v>66</v>
      </c>
      <c r="S82" s="10" t="s">
        <v>583</v>
      </c>
      <c r="T82" s="10" t="n">
        <v>1</v>
      </c>
      <c r="U82" s="10" t="s">
        <v>66</v>
      </c>
      <c r="V82" s="10" t="s">
        <v>66</v>
      </c>
      <c r="W82" s="10"/>
      <c r="X82" s="10"/>
      <c r="Y82" s="10" t="n">
        <v>20</v>
      </c>
      <c r="Z82" s="11" t="str">
        <f aca="false">IF(AND(ISNUMBER(X82),ISNUMBER(Y82),X82&gt;0),1-Y82/X82,"")</f>
        <v/>
      </c>
      <c r="AA82" s="10" t="s">
        <v>356</v>
      </c>
      <c r="AB82" s="10" t="s">
        <v>61</v>
      </c>
      <c r="AC82" s="10" t="s">
        <v>66</v>
      </c>
      <c r="AD82" s="10" t="s">
        <v>61</v>
      </c>
      <c r="AE82" s="10" t="n">
        <v>99.4</v>
      </c>
      <c r="AF82" s="12" t="str">
        <f aca="false">IF(ISNUMBER(AE82),IF(AE82&gt;99,"Y","N"),"")</f>
        <v>Y</v>
      </c>
      <c r="AG82" s="10" t="s">
        <v>66</v>
      </c>
      <c r="AH82" s="10" t="s">
        <v>61</v>
      </c>
      <c r="AI82" s="10" t="s">
        <v>66</v>
      </c>
      <c r="AJ82" s="10" t="s">
        <v>61</v>
      </c>
      <c r="AK82" s="10" t="s">
        <v>61</v>
      </c>
      <c r="AL82" s="10" t="s">
        <v>66</v>
      </c>
      <c r="AM82" s="10" t="s">
        <v>66</v>
      </c>
      <c r="AN82" s="10" t="s">
        <v>66</v>
      </c>
      <c r="AO82" s="10" t="s">
        <v>66</v>
      </c>
      <c r="AP82" s="10" t="s">
        <v>66</v>
      </c>
      <c r="AQ82" s="10" t="s">
        <v>66</v>
      </c>
      <c r="AR82" s="10" t="s">
        <v>66</v>
      </c>
      <c r="AS82" s="10" t="s">
        <v>66</v>
      </c>
      <c r="AT82" s="10"/>
      <c r="AU82" s="10" t="s">
        <v>771</v>
      </c>
    </row>
    <row r="83" customFormat="false" ht="15" hidden="false" customHeight="false" outlineLevel="0" collapsed="false">
      <c r="A83" s="4" t="s">
        <v>772</v>
      </c>
      <c r="B83" s="10" t="s">
        <v>773</v>
      </c>
      <c r="C83" s="10" t="n">
        <v>2025</v>
      </c>
      <c r="D83" s="10" t="s">
        <v>774</v>
      </c>
      <c r="E83" s="10" t="s">
        <v>775</v>
      </c>
      <c r="F83" s="10" t="s">
        <v>60</v>
      </c>
      <c r="G83" s="10" t="s">
        <v>776</v>
      </c>
      <c r="H83" s="10" t="s">
        <v>61</v>
      </c>
      <c r="I83" s="10" t="s">
        <v>66</v>
      </c>
      <c r="J83" s="10" t="s">
        <v>61</v>
      </c>
      <c r="K83" s="10" t="s">
        <v>66</v>
      </c>
      <c r="L83" s="10" t="s">
        <v>61</v>
      </c>
      <c r="M83" s="10" t="s">
        <v>66</v>
      </c>
      <c r="N83" s="10" t="s">
        <v>208</v>
      </c>
      <c r="O83" s="10"/>
      <c r="P83" s="10"/>
      <c r="Q83" s="10" t="s">
        <v>560</v>
      </c>
      <c r="R83" s="10" t="s">
        <v>61</v>
      </c>
      <c r="S83" s="10" t="s">
        <v>690</v>
      </c>
      <c r="T83" s="10" t="n">
        <v>1</v>
      </c>
      <c r="U83" s="10" t="s">
        <v>66</v>
      </c>
      <c r="V83" s="10" t="s">
        <v>66</v>
      </c>
      <c r="W83" s="10" t="s">
        <v>65</v>
      </c>
      <c r="X83" s="10"/>
      <c r="Y83" s="10"/>
      <c r="Z83" s="11" t="str">
        <f aca="false">IF(AND(ISNUMBER(X83),ISNUMBER(Y83),X83&gt;0),1-Y83/X83,"")</f>
        <v/>
      </c>
      <c r="AA83" s="10" t="s">
        <v>356</v>
      </c>
      <c r="AB83" s="10" t="s">
        <v>193</v>
      </c>
      <c r="AC83" s="10" t="s">
        <v>66</v>
      </c>
      <c r="AD83" s="10" t="s">
        <v>66</v>
      </c>
      <c r="AE83" s="10" t="n">
        <v>98.11</v>
      </c>
      <c r="AF83" s="12" t="str">
        <f aca="false">IF(ISNUMBER(AE83),IF(AE83&gt;99,"Y","N"),"")</f>
        <v>N</v>
      </c>
      <c r="AG83" s="10" t="s">
        <v>61</v>
      </c>
      <c r="AH83" s="10" t="s">
        <v>61</v>
      </c>
      <c r="AI83" s="10" t="s">
        <v>61</v>
      </c>
      <c r="AJ83" s="10" t="s">
        <v>61</v>
      </c>
      <c r="AK83" s="10" t="s">
        <v>66</v>
      </c>
      <c r="AL83" s="10" t="s">
        <v>66</v>
      </c>
      <c r="AM83" s="10" t="s">
        <v>66</v>
      </c>
      <c r="AN83" s="10" t="s">
        <v>66</v>
      </c>
      <c r="AO83" s="10" t="s">
        <v>61</v>
      </c>
      <c r="AP83" s="10" t="s">
        <v>66</v>
      </c>
      <c r="AQ83" s="10" t="s">
        <v>66</v>
      </c>
      <c r="AR83" s="10" t="s">
        <v>66</v>
      </c>
      <c r="AS83" s="10" t="s">
        <v>66</v>
      </c>
      <c r="AT83" s="10"/>
      <c r="AU83" s="10" t="s">
        <v>777</v>
      </c>
    </row>
    <row r="84" customFormat="false" ht="15" hidden="false" customHeight="false" outlineLevel="0" collapsed="false">
      <c r="A84" s="4" t="s">
        <v>778</v>
      </c>
      <c r="B84" s="10" t="s">
        <v>779</v>
      </c>
      <c r="C84" s="10" t="n">
        <v>2025</v>
      </c>
      <c r="D84" s="10" t="s">
        <v>780</v>
      </c>
      <c r="E84" s="10" t="s">
        <v>781</v>
      </c>
      <c r="F84" s="10" t="s">
        <v>60</v>
      </c>
      <c r="G84" s="10" t="s">
        <v>782</v>
      </c>
      <c r="H84" s="10" t="s">
        <v>66</v>
      </c>
      <c r="I84" s="10" t="s">
        <v>66</v>
      </c>
      <c r="J84" s="10" t="s">
        <v>61</v>
      </c>
      <c r="K84" s="10" t="s">
        <v>66</v>
      </c>
      <c r="L84" s="10" t="s">
        <v>66</v>
      </c>
      <c r="M84" s="10" t="s">
        <v>66</v>
      </c>
      <c r="N84" s="10" t="s">
        <v>208</v>
      </c>
      <c r="O84" s="10"/>
      <c r="P84" s="10"/>
      <c r="Q84" s="10" t="s">
        <v>783</v>
      </c>
      <c r="R84" s="10" t="s">
        <v>66</v>
      </c>
      <c r="S84" s="10" t="s">
        <v>326</v>
      </c>
      <c r="T84" s="10" t="n">
        <v>1</v>
      </c>
      <c r="U84" s="10" t="s">
        <v>61</v>
      </c>
      <c r="V84" s="10" t="s">
        <v>66</v>
      </c>
      <c r="W84" s="10" t="s">
        <v>201</v>
      </c>
      <c r="X84" s="10" t="n">
        <v>41</v>
      </c>
      <c r="Y84" s="10" t="n">
        <v>7</v>
      </c>
      <c r="Z84" s="11" t="n">
        <f aca="false">IF(AND(ISNUMBER(X84),ISNUMBER(Y84),X84&gt;0),1-Y84/X84,"")</f>
        <v>0.829268292682927</v>
      </c>
      <c r="AA84" s="10" t="s">
        <v>202</v>
      </c>
      <c r="AB84" s="10" t="s">
        <v>193</v>
      </c>
      <c r="AC84" s="10" t="s">
        <v>61</v>
      </c>
      <c r="AD84" s="10" t="s">
        <v>61</v>
      </c>
      <c r="AE84" s="10" t="n">
        <v>97.36</v>
      </c>
      <c r="AF84" s="12" t="str">
        <f aca="false">IF(ISNUMBER(AE84),IF(AE84&gt;99,"Y","N"),"")</f>
        <v>N</v>
      </c>
      <c r="AG84" s="10" t="s">
        <v>61</v>
      </c>
      <c r="AH84" s="10" t="s">
        <v>61</v>
      </c>
      <c r="AI84" s="10" t="s">
        <v>61</v>
      </c>
      <c r="AJ84" s="10" t="s">
        <v>61</v>
      </c>
      <c r="AK84" s="10" t="s">
        <v>61</v>
      </c>
      <c r="AL84" s="10" t="s">
        <v>61</v>
      </c>
      <c r="AM84" s="10" t="s">
        <v>61</v>
      </c>
      <c r="AN84" s="10" t="s">
        <v>66</v>
      </c>
      <c r="AO84" s="10" t="s">
        <v>66</v>
      </c>
      <c r="AP84" s="10" t="s">
        <v>66</v>
      </c>
      <c r="AQ84" s="10" t="s">
        <v>66</v>
      </c>
      <c r="AR84" s="10" t="s">
        <v>66</v>
      </c>
      <c r="AS84" s="10" t="s">
        <v>66</v>
      </c>
      <c r="AT84" s="10"/>
      <c r="AU84" s="10" t="s">
        <v>784</v>
      </c>
    </row>
    <row r="85" customFormat="false" ht="15" hidden="false" customHeight="false" outlineLevel="0" collapsed="false">
      <c r="A85" s="4" t="s">
        <v>785</v>
      </c>
      <c r="B85" s="10" t="s">
        <v>786</v>
      </c>
      <c r="C85" s="10" t="n">
        <v>2025</v>
      </c>
      <c r="D85" s="10" t="s">
        <v>787</v>
      </c>
      <c r="E85" s="10" t="s">
        <v>478</v>
      </c>
      <c r="F85" s="10" t="s">
        <v>60</v>
      </c>
      <c r="G85" s="10" t="s">
        <v>788</v>
      </c>
      <c r="H85" s="10" t="s">
        <v>61</v>
      </c>
      <c r="I85" s="10" t="s">
        <v>66</v>
      </c>
      <c r="J85" s="10" t="s">
        <v>61</v>
      </c>
      <c r="K85" s="10" t="s">
        <v>61</v>
      </c>
      <c r="L85" s="10" t="s">
        <v>61</v>
      </c>
      <c r="M85" s="10" t="s">
        <v>61</v>
      </c>
      <c r="N85" s="10" t="s">
        <v>20</v>
      </c>
      <c r="O85" s="10"/>
      <c r="P85" s="10"/>
      <c r="Q85" s="10" t="s">
        <v>789</v>
      </c>
      <c r="R85" s="10" t="s">
        <v>66</v>
      </c>
      <c r="S85" s="10" t="s">
        <v>790</v>
      </c>
      <c r="T85" s="10" t="n">
        <v>2</v>
      </c>
      <c r="U85" s="10" t="s">
        <v>66</v>
      </c>
      <c r="V85" s="10" t="s">
        <v>61</v>
      </c>
      <c r="W85" s="10" t="s">
        <v>65</v>
      </c>
      <c r="X85" s="10"/>
      <c r="Y85" s="10"/>
      <c r="Z85" s="11" t="str">
        <f aca="false">IF(AND(ISNUMBER(X85),ISNUMBER(Y85),X85&gt;0),1-Y85/X85,"")</f>
        <v/>
      </c>
      <c r="AA85" s="10" t="s">
        <v>356</v>
      </c>
      <c r="AB85" s="10" t="s">
        <v>193</v>
      </c>
      <c r="AC85" s="10" t="s">
        <v>66</v>
      </c>
      <c r="AD85" s="10" t="s">
        <v>61</v>
      </c>
      <c r="AE85" s="10" t="n">
        <v>80</v>
      </c>
      <c r="AF85" s="12" t="str">
        <f aca="false">IF(ISNUMBER(AE85),IF(AE85&gt;99,"Y","N"),"")</f>
        <v>N</v>
      </c>
      <c r="AG85" s="10" t="s">
        <v>66</v>
      </c>
      <c r="AH85" s="10" t="s">
        <v>61</v>
      </c>
      <c r="AI85" s="10" t="s">
        <v>66</v>
      </c>
      <c r="AJ85" s="10" t="s">
        <v>61</v>
      </c>
      <c r="AK85" s="10" t="s">
        <v>61</v>
      </c>
      <c r="AL85" s="10" t="s">
        <v>61</v>
      </c>
      <c r="AM85" s="10" t="s">
        <v>66</v>
      </c>
      <c r="AN85" s="10" t="s">
        <v>66</v>
      </c>
      <c r="AO85" s="10" t="s">
        <v>66</v>
      </c>
      <c r="AP85" s="10" t="s">
        <v>66</v>
      </c>
      <c r="AQ85" s="10" t="s">
        <v>66</v>
      </c>
      <c r="AR85" s="10" t="s">
        <v>66</v>
      </c>
      <c r="AS85" s="10" t="s">
        <v>66</v>
      </c>
      <c r="AT85" s="10"/>
      <c r="AU85" s="10" t="s">
        <v>791</v>
      </c>
    </row>
    <row r="86" customFormat="false" ht="15" hidden="false" customHeight="false" outlineLevel="0" collapsed="false">
      <c r="A86" s="4" t="s">
        <v>792</v>
      </c>
      <c r="B86" s="10" t="s">
        <v>793</v>
      </c>
      <c r="C86" s="10" t="n">
        <v>2025</v>
      </c>
      <c r="D86" s="10" t="s">
        <v>794</v>
      </c>
      <c r="E86" s="10" t="s">
        <v>478</v>
      </c>
      <c r="F86" s="10" t="s">
        <v>60</v>
      </c>
      <c r="G86" s="10" t="s">
        <v>795</v>
      </c>
      <c r="H86" s="10" t="s">
        <v>61</v>
      </c>
      <c r="I86" s="10" t="s">
        <v>61</v>
      </c>
      <c r="J86" s="10" t="s">
        <v>61</v>
      </c>
      <c r="K86" s="10" t="s">
        <v>61</v>
      </c>
      <c r="L86" s="10" t="s">
        <v>66</v>
      </c>
      <c r="M86" s="10" t="s">
        <v>66</v>
      </c>
      <c r="N86" s="10" t="s">
        <v>20</v>
      </c>
      <c r="O86" s="10"/>
      <c r="P86" s="10"/>
      <c r="Q86" s="10" t="s">
        <v>796</v>
      </c>
      <c r="R86" s="10" t="s">
        <v>61</v>
      </c>
      <c r="S86" s="10" t="s">
        <v>690</v>
      </c>
      <c r="T86" s="10" t="n">
        <v>1</v>
      </c>
      <c r="U86" s="10" t="s">
        <v>66</v>
      </c>
      <c r="V86" s="10" t="s">
        <v>66</v>
      </c>
      <c r="W86" s="10" t="s">
        <v>65</v>
      </c>
      <c r="X86" s="10"/>
      <c r="Y86" s="10" t="n">
        <v>20</v>
      </c>
      <c r="Z86" s="11" t="str">
        <f aca="false">IF(AND(ISNUMBER(X86),ISNUMBER(Y86),X86&gt;0),1-Y86/X86,"")</f>
        <v/>
      </c>
      <c r="AA86" s="10" t="s">
        <v>192</v>
      </c>
      <c r="AB86" s="10" t="s">
        <v>193</v>
      </c>
      <c r="AC86" s="10" t="s">
        <v>66</v>
      </c>
      <c r="AD86" s="10" t="s">
        <v>61</v>
      </c>
      <c r="AE86" s="10" t="n">
        <v>93.95</v>
      </c>
      <c r="AF86" s="12" t="str">
        <f aca="false">IF(ISNUMBER(AE86),IF(AE86&gt;99,"Y","N"),"")</f>
        <v>N</v>
      </c>
      <c r="AG86" s="10" t="s">
        <v>61</v>
      </c>
      <c r="AH86" s="10" t="s">
        <v>61</v>
      </c>
      <c r="AI86" s="10" t="s">
        <v>66</v>
      </c>
      <c r="AJ86" s="10" t="s">
        <v>61</v>
      </c>
      <c r="AK86" s="10" t="s">
        <v>61</v>
      </c>
      <c r="AL86" s="10" t="s">
        <v>66</v>
      </c>
      <c r="AM86" s="10" t="s">
        <v>66</v>
      </c>
      <c r="AN86" s="10" t="s">
        <v>66</v>
      </c>
      <c r="AO86" s="10" t="s">
        <v>66</v>
      </c>
      <c r="AP86" s="10" t="s">
        <v>66</v>
      </c>
      <c r="AQ86" s="10" t="s">
        <v>66</v>
      </c>
      <c r="AR86" s="10" t="s">
        <v>66</v>
      </c>
      <c r="AS86" s="10" t="s">
        <v>66</v>
      </c>
      <c r="AT86" s="10"/>
      <c r="AU86" s="10" t="s">
        <v>797</v>
      </c>
    </row>
    <row r="87" customFormat="false" ht="15" hidden="false" customHeight="false" outlineLevel="0" collapsed="false">
      <c r="A87" s="4" t="s">
        <v>798</v>
      </c>
      <c r="B87" s="10" t="s">
        <v>799</v>
      </c>
      <c r="C87" s="10" t="n">
        <v>2025</v>
      </c>
      <c r="D87" s="10" t="s">
        <v>800</v>
      </c>
      <c r="E87" s="10" t="s">
        <v>478</v>
      </c>
      <c r="F87" s="10" t="s">
        <v>60</v>
      </c>
      <c r="G87" s="10" t="s">
        <v>801</v>
      </c>
      <c r="H87" s="10" t="s">
        <v>61</v>
      </c>
      <c r="I87" s="10" t="s">
        <v>61</v>
      </c>
      <c r="J87" s="10" t="s">
        <v>66</v>
      </c>
      <c r="K87" s="10" t="s">
        <v>66</v>
      </c>
      <c r="L87" s="10" t="s">
        <v>61</v>
      </c>
      <c r="M87" s="10" t="s">
        <v>61</v>
      </c>
      <c r="N87" s="10" t="s">
        <v>488</v>
      </c>
      <c r="O87" s="10"/>
      <c r="P87" s="10"/>
      <c r="Q87" s="10" t="s">
        <v>802</v>
      </c>
      <c r="R87" s="10" t="s">
        <v>61</v>
      </c>
      <c r="S87" s="10" t="s">
        <v>803</v>
      </c>
      <c r="T87" s="10" t="n">
        <v>2</v>
      </c>
      <c r="U87" s="10" t="s">
        <v>66</v>
      </c>
      <c r="V87" s="10" t="s">
        <v>66</v>
      </c>
      <c r="W87" s="10"/>
      <c r="X87" s="10"/>
      <c r="Y87" s="10"/>
      <c r="Z87" s="11" t="str">
        <f aca="false">IF(AND(ISNUMBER(X87),ISNUMBER(Y87),X87&gt;0),1-Y87/X87,"")</f>
        <v/>
      </c>
      <c r="AA87" s="10" t="s">
        <v>356</v>
      </c>
      <c r="AB87" s="10" t="s">
        <v>193</v>
      </c>
      <c r="AC87" s="10" t="s">
        <v>66</v>
      </c>
      <c r="AD87" s="10" t="s">
        <v>61</v>
      </c>
      <c r="AE87" s="10" t="n">
        <v>99.45</v>
      </c>
      <c r="AF87" s="12" t="str">
        <f aca="false">IF(ISNUMBER(AE87),IF(AE87&gt;99,"Y","N"),"")</f>
        <v>Y</v>
      </c>
      <c r="AG87" s="10" t="s">
        <v>66</v>
      </c>
      <c r="AH87" s="10" t="s">
        <v>66</v>
      </c>
      <c r="AI87" s="10" t="s">
        <v>66</v>
      </c>
      <c r="AJ87" s="10" t="s">
        <v>61</v>
      </c>
      <c r="AK87" s="10" t="s">
        <v>66</v>
      </c>
      <c r="AL87" s="10" t="s">
        <v>66</v>
      </c>
      <c r="AM87" s="10" t="s">
        <v>66</v>
      </c>
      <c r="AN87" s="10" t="s">
        <v>66</v>
      </c>
      <c r="AO87" s="10" t="s">
        <v>66</v>
      </c>
      <c r="AP87" s="10" t="s">
        <v>66</v>
      </c>
      <c r="AQ87" s="10" t="s">
        <v>66</v>
      </c>
      <c r="AR87" s="10" t="s">
        <v>66</v>
      </c>
      <c r="AS87" s="10" t="s">
        <v>66</v>
      </c>
      <c r="AT87" s="10"/>
      <c r="AU87" s="10" t="s">
        <v>804</v>
      </c>
    </row>
    <row r="88" customFormat="false" ht="15" hidden="false" customHeight="false" outlineLevel="0" collapsed="false">
      <c r="A88" s="4" t="s">
        <v>805</v>
      </c>
      <c r="B88" s="10" t="s">
        <v>806</v>
      </c>
      <c r="C88" s="10" t="n">
        <v>2025</v>
      </c>
      <c r="D88" s="10" t="s">
        <v>807</v>
      </c>
      <c r="E88" s="10" t="s">
        <v>478</v>
      </c>
      <c r="F88" s="10" t="s">
        <v>60</v>
      </c>
      <c r="G88" s="10" t="s">
        <v>808</v>
      </c>
      <c r="H88" s="10" t="s">
        <v>61</v>
      </c>
      <c r="I88" s="10" t="s">
        <v>66</v>
      </c>
      <c r="J88" s="10" t="s">
        <v>61</v>
      </c>
      <c r="K88" s="10" t="s">
        <v>66</v>
      </c>
      <c r="L88" s="10" t="s">
        <v>61</v>
      </c>
      <c r="M88" s="10" t="s">
        <v>61</v>
      </c>
      <c r="N88" s="10" t="s">
        <v>208</v>
      </c>
      <c r="O88" s="10"/>
      <c r="P88" s="10"/>
      <c r="Q88" s="10" t="s">
        <v>809</v>
      </c>
      <c r="R88" s="10" t="s">
        <v>61</v>
      </c>
      <c r="S88" s="10" t="s">
        <v>394</v>
      </c>
      <c r="T88" s="10" t="n">
        <v>2</v>
      </c>
      <c r="U88" s="10" t="s">
        <v>66</v>
      </c>
      <c r="V88" s="10" t="s">
        <v>66</v>
      </c>
      <c r="W88" s="10" t="s">
        <v>65</v>
      </c>
      <c r="X88" s="10"/>
      <c r="Y88" s="10"/>
      <c r="Z88" s="11" t="str">
        <f aca="false">IF(AND(ISNUMBER(X88),ISNUMBER(Y88),X88&gt;0),1-Y88/X88,"")</f>
        <v/>
      </c>
      <c r="AA88" s="10" t="s">
        <v>202</v>
      </c>
      <c r="AB88" s="10" t="s">
        <v>193</v>
      </c>
      <c r="AC88" s="10" t="s">
        <v>66</v>
      </c>
      <c r="AD88" s="10" t="s">
        <v>61</v>
      </c>
      <c r="AE88" s="10" t="n">
        <v>98.67</v>
      </c>
      <c r="AF88" s="12" t="str">
        <f aca="false">IF(ISNUMBER(AE88),IF(AE88&gt;99,"Y","N"),"")</f>
        <v>N</v>
      </c>
      <c r="AG88" s="10" t="s">
        <v>66</v>
      </c>
      <c r="AH88" s="10" t="s">
        <v>66</v>
      </c>
      <c r="AI88" s="10" t="s">
        <v>66</v>
      </c>
      <c r="AJ88" s="10" t="s">
        <v>61</v>
      </c>
      <c r="AK88" s="10" t="s">
        <v>61</v>
      </c>
      <c r="AL88" s="10" t="s">
        <v>61</v>
      </c>
      <c r="AM88" s="10" t="s">
        <v>66</v>
      </c>
      <c r="AN88" s="10" t="s">
        <v>66</v>
      </c>
      <c r="AO88" s="10" t="s">
        <v>61</v>
      </c>
      <c r="AP88" s="10" t="s">
        <v>66</v>
      </c>
      <c r="AQ88" s="10" t="s">
        <v>66</v>
      </c>
      <c r="AR88" s="10" t="s">
        <v>66</v>
      </c>
      <c r="AS88" s="10" t="s">
        <v>66</v>
      </c>
      <c r="AT88" s="10"/>
      <c r="AU88" s="10" t="s">
        <v>810</v>
      </c>
    </row>
    <row r="89" customFormat="false" ht="15" hidden="false" customHeight="false" outlineLevel="0" collapsed="false">
      <c r="A89" s="4" t="s">
        <v>811</v>
      </c>
      <c r="B89" s="10" t="s">
        <v>812</v>
      </c>
      <c r="C89" s="10" t="n">
        <v>2025</v>
      </c>
      <c r="D89" s="10" t="s">
        <v>813</v>
      </c>
      <c r="E89" s="10" t="s">
        <v>814</v>
      </c>
      <c r="F89" s="10" t="s">
        <v>60</v>
      </c>
      <c r="G89" s="10" t="s">
        <v>815</v>
      </c>
      <c r="H89" s="10" t="s">
        <v>66</v>
      </c>
      <c r="I89" s="10" t="s">
        <v>66</v>
      </c>
      <c r="J89" s="10" t="s">
        <v>61</v>
      </c>
      <c r="K89" s="10" t="s">
        <v>66</v>
      </c>
      <c r="L89" s="10" t="s">
        <v>66</v>
      </c>
      <c r="M89" s="10" t="s">
        <v>66</v>
      </c>
      <c r="N89" s="10" t="s">
        <v>208</v>
      </c>
      <c r="O89" s="10"/>
      <c r="P89" s="10"/>
      <c r="Q89" s="10" t="s">
        <v>816</v>
      </c>
      <c r="R89" s="10" t="s">
        <v>61</v>
      </c>
      <c r="S89" s="10" t="s">
        <v>296</v>
      </c>
      <c r="T89" s="10" t="n">
        <v>1</v>
      </c>
      <c r="U89" s="10" t="s">
        <v>66</v>
      </c>
      <c r="V89" s="10" t="s">
        <v>61</v>
      </c>
      <c r="W89" s="10" t="s">
        <v>201</v>
      </c>
      <c r="X89" s="10"/>
      <c r="Y89" s="10"/>
      <c r="Z89" s="11" t="str">
        <f aca="false">IF(AND(ISNUMBER(X89),ISNUMBER(Y89),X89&gt;0),1-Y89/X89,"")</f>
        <v/>
      </c>
      <c r="AA89" s="10" t="s">
        <v>202</v>
      </c>
      <c r="AB89" s="10" t="s">
        <v>193</v>
      </c>
      <c r="AC89" s="10" t="s">
        <v>66</v>
      </c>
      <c r="AD89" s="10" t="s">
        <v>66</v>
      </c>
      <c r="AE89" s="10" t="n">
        <v>99</v>
      </c>
      <c r="AF89" s="12" t="str">
        <f aca="false">IF(ISNUMBER(AE89),IF(AE89&gt;99,"Y","N"),"")</f>
        <v>N</v>
      </c>
      <c r="AG89" s="10" t="s">
        <v>61</v>
      </c>
      <c r="AH89" s="10" t="s">
        <v>66</v>
      </c>
      <c r="AI89" s="10" t="s">
        <v>66</v>
      </c>
      <c r="AJ89" s="10" t="s">
        <v>61</v>
      </c>
      <c r="AK89" s="10" t="s">
        <v>61</v>
      </c>
      <c r="AL89" s="10" t="s">
        <v>66</v>
      </c>
      <c r="AM89" s="10" t="s">
        <v>66</v>
      </c>
      <c r="AN89" s="10" t="s">
        <v>66</v>
      </c>
      <c r="AO89" s="10" t="s">
        <v>61</v>
      </c>
      <c r="AP89" s="10" t="s">
        <v>66</v>
      </c>
      <c r="AQ89" s="10" t="s">
        <v>66</v>
      </c>
      <c r="AR89" s="10" t="s">
        <v>66</v>
      </c>
      <c r="AS89" s="10" t="s">
        <v>66</v>
      </c>
      <c r="AT89" s="10"/>
      <c r="AU89" s="10" t="s">
        <v>817</v>
      </c>
    </row>
    <row r="90" customFormat="false" ht="15" hidden="false" customHeight="false" outlineLevel="0" collapsed="false">
      <c r="A90" s="4" t="s">
        <v>818</v>
      </c>
      <c r="B90" s="10" t="s">
        <v>819</v>
      </c>
      <c r="C90" s="10" t="n">
        <v>2025</v>
      </c>
      <c r="D90" s="10" t="s">
        <v>820</v>
      </c>
      <c r="E90" s="10" t="s">
        <v>478</v>
      </c>
      <c r="F90" s="10" t="s">
        <v>60</v>
      </c>
      <c r="G90" s="10" t="s">
        <v>821</v>
      </c>
      <c r="H90" s="10" t="s">
        <v>66</v>
      </c>
      <c r="I90" s="10" t="s">
        <v>66</v>
      </c>
      <c r="J90" s="10" t="s">
        <v>61</v>
      </c>
      <c r="K90" s="10" t="s">
        <v>66</v>
      </c>
      <c r="L90" s="10" t="s">
        <v>66</v>
      </c>
      <c r="M90" s="10" t="s">
        <v>66</v>
      </c>
      <c r="N90" s="10" t="s">
        <v>208</v>
      </c>
      <c r="O90" s="10"/>
      <c r="P90" s="10"/>
      <c r="Q90" s="10" t="s">
        <v>822</v>
      </c>
      <c r="R90" s="10" t="s">
        <v>61</v>
      </c>
      <c r="S90" s="10" t="s">
        <v>518</v>
      </c>
      <c r="T90" s="10" t="n">
        <v>1</v>
      </c>
      <c r="U90" s="10" t="s">
        <v>66</v>
      </c>
      <c r="V90" s="10" t="s">
        <v>61</v>
      </c>
      <c r="W90" s="10"/>
      <c r="X90" s="10"/>
      <c r="Y90" s="10"/>
      <c r="Z90" s="11" t="str">
        <f aca="false">IF(AND(ISNUMBER(X90),ISNUMBER(Y90),X90&gt;0),1-Y90/X90,"")</f>
        <v/>
      </c>
      <c r="AA90" s="10" t="s">
        <v>192</v>
      </c>
      <c r="AB90" s="10" t="s">
        <v>193</v>
      </c>
      <c r="AC90" s="10" t="s">
        <v>66</v>
      </c>
      <c r="AD90" s="10" t="s">
        <v>61</v>
      </c>
      <c r="AE90" s="10" t="n">
        <v>98.28</v>
      </c>
      <c r="AF90" s="12" t="str">
        <f aca="false">IF(ISNUMBER(AE90),IF(AE90&gt;99,"Y","N"),"")</f>
        <v>N</v>
      </c>
      <c r="AG90" s="10" t="s">
        <v>66</v>
      </c>
      <c r="AH90" s="10" t="s">
        <v>66</v>
      </c>
      <c r="AI90" s="10" t="s">
        <v>66</v>
      </c>
      <c r="AJ90" s="10" t="s">
        <v>61</v>
      </c>
      <c r="AK90" s="10" t="s">
        <v>61</v>
      </c>
      <c r="AL90" s="10" t="s">
        <v>66</v>
      </c>
      <c r="AM90" s="10" t="s">
        <v>66</v>
      </c>
      <c r="AN90" s="10" t="s">
        <v>66</v>
      </c>
      <c r="AO90" s="10" t="s">
        <v>66</v>
      </c>
      <c r="AP90" s="10" t="s">
        <v>66</v>
      </c>
      <c r="AQ90" s="10" t="s">
        <v>66</v>
      </c>
      <c r="AR90" s="10" t="s">
        <v>66</v>
      </c>
      <c r="AS90" s="10" t="s">
        <v>66</v>
      </c>
      <c r="AT90" s="10"/>
      <c r="AU90" s="10" t="s">
        <v>823</v>
      </c>
    </row>
    <row r="91" customFormat="false" ht="15" hidden="false" customHeight="false" outlineLevel="0" collapsed="false">
      <c r="A91" s="4" t="s">
        <v>824</v>
      </c>
      <c r="B91" s="10" t="s">
        <v>825</v>
      </c>
      <c r="C91" s="10" t="n">
        <v>2025</v>
      </c>
      <c r="D91" s="10" t="s">
        <v>826</v>
      </c>
      <c r="E91" s="10" t="s">
        <v>478</v>
      </c>
      <c r="F91" s="10" t="s">
        <v>60</v>
      </c>
      <c r="G91" s="10" t="s">
        <v>827</v>
      </c>
      <c r="H91" s="10" t="s">
        <v>66</v>
      </c>
      <c r="I91" s="10" t="s">
        <v>66</v>
      </c>
      <c r="J91" s="10" t="s">
        <v>61</v>
      </c>
      <c r="K91" s="10" t="s">
        <v>66</v>
      </c>
      <c r="L91" s="10" t="s">
        <v>66</v>
      </c>
      <c r="M91" s="10" t="s">
        <v>66</v>
      </c>
      <c r="N91" s="10" t="s">
        <v>208</v>
      </c>
      <c r="O91" s="10"/>
      <c r="P91" s="10"/>
      <c r="Q91" s="10" t="s">
        <v>828</v>
      </c>
      <c r="R91" s="10" t="s">
        <v>61</v>
      </c>
      <c r="S91" s="10" t="s">
        <v>296</v>
      </c>
      <c r="T91" s="10" t="n">
        <v>1</v>
      </c>
      <c r="U91" s="10" t="s">
        <v>66</v>
      </c>
      <c r="V91" s="10" t="s">
        <v>61</v>
      </c>
      <c r="W91" s="10" t="s">
        <v>65</v>
      </c>
      <c r="X91" s="10"/>
      <c r="Y91" s="10"/>
      <c r="Z91" s="11" t="str">
        <f aca="false">IF(AND(ISNUMBER(X91),ISNUMBER(Y91),X91&gt;0),1-Y91/X91,"")</f>
        <v/>
      </c>
      <c r="AA91" s="10" t="s">
        <v>192</v>
      </c>
      <c r="AB91" s="10" t="s">
        <v>193</v>
      </c>
      <c r="AC91" s="10" t="s">
        <v>66</v>
      </c>
      <c r="AD91" s="10" t="s">
        <v>66</v>
      </c>
      <c r="AE91" s="10" t="n">
        <v>99.22</v>
      </c>
      <c r="AF91" s="12" t="str">
        <f aca="false">IF(ISNUMBER(AE91),IF(AE91&gt;99,"Y","N"),"")</f>
        <v>Y</v>
      </c>
      <c r="AG91" s="10" t="s">
        <v>61</v>
      </c>
      <c r="AH91" s="10" t="s">
        <v>66</v>
      </c>
      <c r="AI91" s="10" t="s">
        <v>66</v>
      </c>
      <c r="AJ91" s="10" t="s">
        <v>61</v>
      </c>
      <c r="AK91" s="10" t="s">
        <v>61</v>
      </c>
      <c r="AL91" s="10" t="s">
        <v>66</v>
      </c>
      <c r="AM91" s="10" t="s">
        <v>66</v>
      </c>
      <c r="AN91" s="10" t="s">
        <v>66</v>
      </c>
      <c r="AO91" s="10" t="s">
        <v>66</v>
      </c>
      <c r="AP91" s="10" t="s">
        <v>66</v>
      </c>
      <c r="AQ91" s="10" t="s">
        <v>66</v>
      </c>
      <c r="AR91" s="10" t="s">
        <v>66</v>
      </c>
      <c r="AS91" s="10" t="s">
        <v>66</v>
      </c>
      <c r="AT91" s="10"/>
      <c r="AU91" s="10" t="s">
        <v>829</v>
      </c>
    </row>
    <row r="92" customFormat="false" ht="15" hidden="false" customHeight="false" outlineLevel="0" collapsed="false">
      <c r="A92" s="4" t="s">
        <v>830</v>
      </c>
      <c r="B92" s="10" t="s">
        <v>831</v>
      </c>
      <c r="C92" s="10" t="n">
        <v>2025</v>
      </c>
      <c r="D92" s="10" t="s">
        <v>832</v>
      </c>
      <c r="E92" s="10" t="s">
        <v>833</v>
      </c>
      <c r="F92" s="10" t="s">
        <v>60</v>
      </c>
      <c r="G92" s="10" t="s">
        <v>834</v>
      </c>
      <c r="H92" s="10" t="s">
        <v>66</v>
      </c>
      <c r="I92" s="10" t="s">
        <v>66</v>
      </c>
      <c r="J92" s="10" t="s">
        <v>61</v>
      </c>
      <c r="K92" s="10" t="s">
        <v>66</v>
      </c>
      <c r="L92" s="10" t="s">
        <v>66</v>
      </c>
      <c r="M92" s="10" t="s">
        <v>61</v>
      </c>
      <c r="N92" s="10" t="s">
        <v>208</v>
      </c>
      <c r="O92" s="10"/>
      <c r="P92" s="10"/>
      <c r="Q92" s="10" t="s">
        <v>835</v>
      </c>
      <c r="R92" s="10" t="s">
        <v>61</v>
      </c>
      <c r="S92" s="10" t="s">
        <v>296</v>
      </c>
      <c r="T92" s="10" t="n">
        <v>1</v>
      </c>
      <c r="U92" s="10" t="s">
        <v>66</v>
      </c>
      <c r="V92" s="10" t="s">
        <v>61</v>
      </c>
      <c r="W92" s="10"/>
      <c r="X92" s="10"/>
      <c r="Y92" s="10"/>
      <c r="Z92" s="11" t="str">
        <f aca="false">IF(AND(ISNUMBER(X92),ISNUMBER(Y92),X92&gt;0),1-Y92/X92,"")</f>
        <v/>
      </c>
      <c r="AA92" s="10" t="s">
        <v>356</v>
      </c>
      <c r="AB92" s="10" t="s">
        <v>193</v>
      </c>
      <c r="AC92" s="10" t="s">
        <v>66</v>
      </c>
      <c r="AD92" s="10" t="s">
        <v>61</v>
      </c>
      <c r="AE92" s="10" t="n">
        <v>99.32</v>
      </c>
      <c r="AF92" s="12" t="str">
        <f aca="false">IF(ISNUMBER(AE92),IF(AE92&gt;99,"Y","N"),"")</f>
        <v>Y</v>
      </c>
      <c r="AG92" s="10" t="s">
        <v>66</v>
      </c>
      <c r="AH92" s="10" t="s">
        <v>66</v>
      </c>
      <c r="AI92" s="10" t="s">
        <v>66</v>
      </c>
      <c r="AJ92" s="10" t="s">
        <v>61</v>
      </c>
      <c r="AK92" s="10" t="s">
        <v>66</v>
      </c>
      <c r="AL92" s="10" t="s">
        <v>66</v>
      </c>
      <c r="AM92" s="10" t="s">
        <v>66</v>
      </c>
      <c r="AN92" s="10" t="s">
        <v>66</v>
      </c>
      <c r="AO92" s="10" t="s">
        <v>66</v>
      </c>
      <c r="AP92" s="10" t="s">
        <v>66</v>
      </c>
      <c r="AQ92" s="10" t="s">
        <v>61</v>
      </c>
      <c r="AR92" s="10" t="s">
        <v>66</v>
      </c>
      <c r="AS92" s="10" t="s">
        <v>66</v>
      </c>
      <c r="AT92" s="10"/>
      <c r="AU92" s="10" t="s">
        <v>836</v>
      </c>
    </row>
    <row r="93" customFormat="false" ht="15" hidden="false" customHeight="false" outlineLevel="0" collapsed="false">
      <c r="A93" s="4" t="s">
        <v>837</v>
      </c>
      <c r="B93" s="10" t="s">
        <v>838</v>
      </c>
      <c r="C93" s="10" t="n">
        <v>2025</v>
      </c>
      <c r="D93" s="10" t="s">
        <v>839</v>
      </c>
      <c r="E93" s="10" t="s">
        <v>840</v>
      </c>
      <c r="F93" s="10" t="s">
        <v>60</v>
      </c>
      <c r="G93" s="10" t="s">
        <v>841</v>
      </c>
      <c r="H93" s="10" t="s">
        <v>61</v>
      </c>
      <c r="I93" s="10" t="s">
        <v>61</v>
      </c>
      <c r="J93" s="10" t="s">
        <v>61</v>
      </c>
      <c r="K93" s="10" t="s">
        <v>66</v>
      </c>
      <c r="L93" s="10" t="s">
        <v>66</v>
      </c>
      <c r="M93" s="10" t="s">
        <v>61</v>
      </c>
      <c r="N93" s="10" t="s">
        <v>208</v>
      </c>
      <c r="O93" s="10"/>
      <c r="P93" s="10"/>
      <c r="Q93" s="10" t="s">
        <v>842</v>
      </c>
      <c r="R93" s="10" t="s">
        <v>61</v>
      </c>
      <c r="S93" s="10" t="s">
        <v>843</v>
      </c>
      <c r="T93" s="10" t="n">
        <v>3</v>
      </c>
      <c r="U93" s="10" t="s">
        <v>66</v>
      </c>
      <c r="V93" s="10" t="s">
        <v>66</v>
      </c>
      <c r="W93" s="10" t="s">
        <v>65</v>
      </c>
      <c r="X93" s="10"/>
      <c r="Y93" s="10"/>
      <c r="Z93" s="11" t="str">
        <f aca="false">IF(AND(ISNUMBER(X93),ISNUMBER(Y93),X93&gt;0),1-Y93/X93,"")</f>
        <v/>
      </c>
      <c r="AA93" s="10" t="s">
        <v>202</v>
      </c>
      <c r="AB93" s="10" t="s">
        <v>193</v>
      </c>
      <c r="AC93" s="10" t="s">
        <v>66</v>
      </c>
      <c r="AD93" s="10" t="s">
        <v>61</v>
      </c>
      <c r="AE93" s="10" t="n">
        <v>99.99</v>
      </c>
      <c r="AF93" s="12" t="str">
        <f aca="false">IF(ISNUMBER(AE93),IF(AE93&gt;99,"Y","N"),"")</f>
        <v>Y</v>
      </c>
      <c r="AG93" s="10" t="s">
        <v>66</v>
      </c>
      <c r="AH93" s="10" t="s">
        <v>61</v>
      </c>
      <c r="AI93" s="10" t="s">
        <v>66</v>
      </c>
      <c r="AJ93" s="10" t="s">
        <v>66</v>
      </c>
      <c r="AK93" s="10" t="s">
        <v>61</v>
      </c>
      <c r="AL93" s="10" t="s">
        <v>66</v>
      </c>
      <c r="AM93" s="10" t="s">
        <v>66</v>
      </c>
      <c r="AN93" s="10" t="s">
        <v>66</v>
      </c>
      <c r="AO93" s="10" t="s">
        <v>66</v>
      </c>
      <c r="AP93" s="10" t="s">
        <v>66</v>
      </c>
      <c r="AQ93" s="10" t="s">
        <v>66</v>
      </c>
      <c r="AR93" s="10" t="s">
        <v>66</v>
      </c>
      <c r="AS93" s="10" t="s">
        <v>66</v>
      </c>
      <c r="AT93" s="10"/>
      <c r="AU93" s="10" t="s">
        <v>844</v>
      </c>
    </row>
    <row r="94" customFormat="false" ht="15" hidden="false" customHeight="false" outlineLevel="0" collapsed="false">
      <c r="A94" s="4" t="s">
        <v>845</v>
      </c>
      <c r="B94" s="10" t="s">
        <v>846</v>
      </c>
      <c r="C94" s="10" t="n">
        <v>2025</v>
      </c>
      <c r="D94" s="10" t="s">
        <v>847</v>
      </c>
      <c r="E94" s="10" t="s">
        <v>673</v>
      </c>
      <c r="F94" s="10" t="s">
        <v>60</v>
      </c>
      <c r="G94" s="10" t="s">
        <v>848</v>
      </c>
      <c r="H94" s="10" t="s">
        <v>66</v>
      </c>
      <c r="I94" s="10" t="s">
        <v>66</v>
      </c>
      <c r="J94" s="10" t="s">
        <v>61</v>
      </c>
      <c r="K94" s="10" t="s">
        <v>66</v>
      </c>
      <c r="L94" s="10" t="s">
        <v>66</v>
      </c>
      <c r="M94" s="10" t="s">
        <v>61</v>
      </c>
      <c r="N94" s="10" t="s">
        <v>208</v>
      </c>
      <c r="O94" s="10"/>
      <c r="P94" s="10"/>
      <c r="Q94" s="10" t="s">
        <v>560</v>
      </c>
      <c r="R94" s="10" t="s">
        <v>61</v>
      </c>
      <c r="S94" s="10" t="s">
        <v>849</v>
      </c>
      <c r="T94" s="10" t="n">
        <v>2</v>
      </c>
      <c r="U94" s="10" t="s">
        <v>66</v>
      </c>
      <c r="V94" s="10" t="s">
        <v>66</v>
      </c>
      <c r="W94" s="10" t="s">
        <v>65</v>
      </c>
      <c r="X94" s="10" t="n">
        <v>100</v>
      </c>
      <c r="Y94" s="10" t="n">
        <v>50</v>
      </c>
      <c r="Z94" s="11" t="n">
        <f aca="false">IF(AND(ISNUMBER(X94),ISNUMBER(Y94),X94&gt;0),1-Y94/X94,"")</f>
        <v>0.5</v>
      </c>
      <c r="AA94" s="10" t="s">
        <v>192</v>
      </c>
      <c r="AB94" s="10" t="s">
        <v>193</v>
      </c>
      <c r="AC94" s="10" t="s">
        <v>66</v>
      </c>
      <c r="AD94" s="10" t="s">
        <v>61</v>
      </c>
      <c r="AE94" s="10" t="n">
        <v>99.56</v>
      </c>
      <c r="AF94" s="12" t="str">
        <f aca="false">IF(ISNUMBER(AE94),IF(AE94&gt;99,"Y","N"),"")</f>
        <v>Y</v>
      </c>
      <c r="AG94" s="10" t="s">
        <v>66</v>
      </c>
      <c r="AH94" s="10" t="s">
        <v>66</v>
      </c>
      <c r="AI94" s="10" t="s">
        <v>66</v>
      </c>
      <c r="AJ94" s="10" t="s">
        <v>66</v>
      </c>
      <c r="AK94" s="10" t="s">
        <v>66</v>
      </c>
      <c r="AL94" s="10" t="s">
        <v>66</v>
      </c>
      <c r="AM94" s="10" t="s">
        <v>66</v>
      </c>
      <c r="AN94" s="10" t="s">
        <v>66</v>
      </c>
      <c r="AO94" s="10" t="s">
        <v>66</v>
      </c>
      <c r="AP94" s="10" t="s">
        <v>66</v>
      </c>
      <c r="AQ94" s="10" t="s">
        <v>66</v>
      </c>
      <c r="AR94" s="10" t="s">
        <v>66</v>
      </c>
      <c r="AS94" s="10" t="s">
        <v>66</v>
      </c>
      <c r="AT94" s="10"/>
      <c r="AU94" s="10" t="s">
        <v>850</v>
      </c>
    </row>
    <row r="95" customFormat="false" ht="15" hidden="false" customHeight="false" outlineLevel="0" collapsed="false">
      <c r="A95" s="4" t="s">
        <v>851</v>
      </c>
      <c r="B95" s="10" t="s">
        <v>852</v>
      </c>
      <c r="C95" s="10" t="n">
        <v>2025</v>
      </c>
      <c r="D95" s="10" t="s">
        <v>853</v>
      </c>
      <c r="E95" s="10" t="s">
        <v>854</v>
      </c>
      <c r="F95" s="10" t="s">
        <v>60</v>
      </c>
      <c r="G95" s="10" t="s">
        <v>855</v>
      </c>
      <c r="H95" s="10" t="s">
        <v>61</v>
      </c>
      <c r="I95" s="10" t="s">
        <v>66</v>
      </c>
      <c r="J95" s="10" t="s">
        <v>61</v>
      </c>
      <c r="K95" s="10" t="s">
        <v>66</v>
      </c>
      <c r="L95" s="10" t="s">
        <v>61</v>
      </c>
      <c r="M95" s="10" t="s">
        <v>66</v>
      </c>
      <c r="N95" s="10" t="s">
        <v>208</v>
      </c>
      <c r="O95" s="10"/>
      <c r="P95" s="10"/>
      <c r="Q95" s="10" t="s">
        <v>856</v>
      </c>
      <c r="R95" s="10" t="s">
        <v>61</v>
      </c>
      <c r="S95" s="10" t="s">
        <v>326</v>
      </c>
      <c r="T95" s="10" t="n">
        <v>1</v>
      </c>
      <c r="U95" s="10" t="s">
        <v>61</v>
      </c>
      <c r="V95" s="10" t="s">
        <v>66</v>
      </c>
      <c r="W95" s="10"/>
      <c r="X95" s="10"/>
      <c r="Y95" s="10"/>
      <c r="Z95" s="11" t="str">
        <f aca="false">IF(AND(ISNUMBER(X95),ISNUMBER(Y95),X95&gt;0),1-Y95/X95,"")</f>
        <v/>
      </c>
      <c r="AA95" s="10" t="s">
        <v>202</v>
      </c>
      <c r="AB95" s="10" t="s">
        <v>193</v>
      </c>
      <c r="AC95" s="10" t="s">
        <v>66</v>
      </c>
      <c r="AD95" s="10" t="s">
        <v>66</v>
      </c>
      <c r="AE95" s="10" t="n">
        <v>97.75</v>
      </c>
      <c r="AF95" s="12" t="str">
        <f aca="false">IF(ISNUMBER(AE95),IF(AE95&gt;99,"Y","N"),"")</f>
        <v>N</v>
      </c>
      <c r="AG95" s="10" t="s">
        <v>61</v>
      </c>
      <c r="AH95" s="10" t="s">
        <v>66</v>
      </c>
      <c r="AI95" s="10" t="s">
        <v>66</v>
      </c>
      <c r="AJ95" s="10" t="s">
        <v>61</v>
      </c>
      <c r="AK95" s="10" t="s">
        <v>66</v>
      </c>
      <c r="AL95" s="10" t="s">
        <v>66</v>
      </c>
      <c r="AM95" s="10" t="s">
        <v>66</v>
      </c>
      <c r="AN95" s="10" t="s">
        <v>66</v>
      </c>
      <c r="AO95" s="10" t="s">
        <v>66</v>
      </c>
      <c r="AP95" s="10" t="s">
        <v>66</v>
      </c>
      <c r="AQ95" s="10" t="s">
        <v>66</v>
      </c>
      <c r="AR95" s="10" t="s">
        <v>66</v>
      </c>
      <c r="AS95" s="10" t="s">
        <v>66</v>
      </c>
      <c r="AT95" s="10"/>
      <c r="AU95" s="10" t="s">
        <v>857</v>
      </c>
    </row>
    <row r="96" customFormat="false" ht="15" hidden="false" customHeight="false" outlineLevel="0" collapsed="false">
      <c r="A96" s="4" t="s">
        <v>858</v>
      </c>
      <c r="B96" s="10" t="s">
        <v>859</v>
      </c>
      <c r="C96" s="10" t="n">
        <v>2025</v>
      </c>
      <c r="D96" s="10" t="s">
        <v>860</v>
      </c>
      <c r="E96" s="10" t="s">
        <v>861</v>
      </c>
      <c r="F96" s="10" t="s">
        <v>60</v>
      </c>
      <c r="G96" s="10" t="s">
        <v>862</v>
      </c>
      <c r="H96" s="10" t="s">
        <v>61</v>
      </c>
      <c r="I96" s="10" t="s">
        <v>66</v>
      </c>
      <c r="J96" s="10" t="s">
        <v>61</v>
      </c>
      <c r="K96" s="10" t="s">
        <v>66</v>
      </c>
      <c r="L96" s="10" t="s">
        <v>66</v>
      </c>
      <c r="M96" s="10" t="s">
        <v>66</v>
      </c>
      <c r="N96" s="10" t="s">
        <v>16</v>
      </c>
      <c r="O96" s="10"/>
      <c r="P96" s="10"/>
      <c r="Q96" s="10" t="s">
        <v>863</v>
      </c>
      <c r="R96" s="10" t="s">
        <v>66</v>
      </c>
      <c r="S96" s="10" t="s">
        <v>864</v>
      </c>
      <c r="T96" s="10" t="n">
        <v>1</v>
      </c>
      <c r="U96" s="10" t="s">
        <v>61</v>
      </c>
      <c r="V96" s="10" t="s">
        <v>66</v>
      </c>
      <c r="W96" s="10" t="s">
        <v>201</v>
      </c>
      <c r="X96" s="10"/>
      <c r="Y96" s="10" t="n">
        <v>10</v>
      </c>
      <c r="Z96" s="11" t="str">
        <f aca="false">IF(AND(ISNUMBER(X96),ISNUMBER(Y96),X96&gt;0),1-Y96/X96,"")</f>
        <v/>
      </c>
      <c r="AA96" s="10" t="s">
        <v>202</v>
      </c>
      <c r="AB96" s="10" t="s">
        <v>193</v>
      </c>
      <c r="AC96" s="10" t="s">
        <v>66</v>
      </c>
      <c r="AD96" s="10" t="s">
        <v>61</v>
      </c>
      <c r="AE96" s="10" t="n">
        <v>99</v>
      </c>
      <c r="AF96" s="12" t="str">
        <f aca="false">IF(ISNUMBER(AE96),IF(AE96&gt;99,"Y","N"),"")</f>
        <v>N</v>
      </c>
      <c r="AG96" s="10" t="s">
        <v>61</v>
      </c>
      <c r="AH96" s="10" t="s">
        <v>61</v>
      </c>
      <c r="AI96" s="10" t="s">
        <v>66</v>
      </c>
      <c r="AJ96" s="10" t="s">
        <v>66</v>
      </c>
      <c r="AK96" s="10" t="s">
        <v>66</v>
      </c>
      <c r="AL96" s="10" t="s">
        <v>66</v>
      </c>
      <c r="AM96" s="10" t="s">
        <v>66</v>
      </c>
      <c r="AN96" s="10" t="s">
        <v>66</v>
      </c>
      <c r="AO96" s="10" t="s">
        <v>66</v>
      </c>
      <c r="AP96" s="10" t="s">
        <v>66</v>
      </c>
      <c r="AQ96" s="10" t="s">
        <v>66</v>
      </c>
      <c r="AR96" s="10" t="s">
        <v>66</v>
      </c>
      <c r="AS96" s="10" t="s">
        <v>66</v>
      </c>
      <c r="AT96" s="10"/>
      <c r="AU96" s="10" t="s">
        <v>865</v>
      </c>
    </row>
    <row r="97" customFormat="false" ht="15" hidden="false" customHeight="false" outlineLevel="0" collapsed="false">
      <c r="A97" s="4" t="s">
        <v>866</v>
      </c>
      <c r="B97" s="10" t="s">
        <v>867</v>
      </c>
      <c r="C97" s="10" t="n">
        <v>2025</v>
      </c>
      <c r="D97" s="10" t="s">
        <v>868</v>
      </c>
      <c r="E97" s="10" t="s">
        <v>869</v>
      </c>
      <c r="F97" s="10" t="s">
        <v>60</v>
      </c>
      <c r="G97" s="10" t="s">
        <v>870</v>
      </c>
      <c r="H97" s="10" t="s">
        <v>61</v>
      </c>
      <c r="I97" s="10" t="s">
        <v>66</v>
      </c>
      <c r="J97" s="10" t="s">
        <v>61</v>
      </c>
      <c r="K97" s="10" t="s">
        <v>66</v>
      </c>
      <c r="L97" s="10" t="s">
        <v>66</v>
      </c>
      <c r="M97" s="10" t="s">
        <v>61</v>
      </c>
      <c r="N97" s="10" t="s">
        <v>208</v>
      </c>
      <c r="O97" s="10"/>
      <c r="P97" s="10"/>
      <c r="Q97" s="10" t="s">
        <v>871</v>
      </c>
      <c r="R97" s="10" t="s">
        <v>61</v>
      </c>
      <c r="S97" s="10" t="s">
        <v>326</v>
      </c>
      <c r="T97" s="10" t="n">
        <v>1</v>
      </c>
      <c r="U97" s="10" t="s">
        <v>61</v>
      </c>
      <c r="V97" s="10" t="s">
        <v>66</v>
      </c>
      <c r="W97" s="10"/>
      <c r="X97" s="10"/>
      <c r="Y97" s="10"/>
      <c r="Z97" s="11" t="str">
        <f aca="false">IF(AND(ISNUMBER(X97),ISNUMBER(Y97),X97&gt;0),1-Y97/X97,"")</f>
        <v/>
      </c>
      <c r="AA97" s="10" t="s">
        <v>356</v>
      </c>
      <c r="AB97" s="10" t="s">
        <v>193</v>
      </c>
      <c r="AC97" s="10" t="s">
        <v>66</v>
      </c>
      <c r="AD97" s="10" t="s">
        <v>66</v>
      </c>
      <c r="AE97" s="10" t="n">
        <v>99.9</v>
      </c>
      <c r="AF97" s="12" t="str">
        <f aca="false">IF(ISNUMBER(AE97),IF(AE97&gt;99,"Y","N"),"")</f>
        <v>Y</v>
      </c>
      <c r="AG97" s="10" t="s">
        <v>66</v>
      </c>
      <c r="AH97" s="10" t="s">
        <v>66</v>
      </c>
      <c r="AI97" s="10" t="s">
        <v>66</v>
      </c>
      <c r="AJ97" s="10" t="s">
        <v>61</v>
      </c>
      <c r="AK97" s="10" t="s">
        <v>61</v>
      </c>
      <c r="AL97" s="10" t="s">
        <v>66</v>
      </c>
      <c r="AM97" s="10" t="s">
        <v>66</v>
      </c>
      <c r="AN97" s="10" t="s">
        <v>66</v>
      </c>
      <c r="AO97" s="10" t="s">
        <v>66</v>
      </c>
      <c r="AP97" s="10" t="s">
        <v>66</v>
      </c>
      <c r="AQ97" s="10" t="s">
        <v>66</v>
      </c>
      <c r="AR97" s="10" t="s">
        <v>66</v>
      </c>
      <c r="AS97" s="10" t="s">
        <v>66</v>
      </c>
      <c r="AT97" s="10"/>
      <c r="AU97" s="10" t="s">
        <v>872</v>
      </c>
    </row>
    <row r="98" customFormat="false" ht="15" hidden="false" customHeight="false" outlineLevel="0" collapsed="false">
      <c r="A98" s="4" t="s">
        <v>873</v>
      </c>
      <c r="B98" s="10" t="s">
        <v>874</v>
      </c>
      <c r="C98" s="10" t="n">
        <v>2025</v>
      </c>
      <c r="D98" s="10" t="s">
        <v>875</v>
      </c>
      <c r="E98" s="10" t="s">
        <v>876</v>
      </c>
      <c r="F98" s="10" t="s">
        <v>60</v>
      </c>
      <c r="G98" s="10" t="s">
        <v>877</v>
      </c>
      <c r="H98" s="10" t="s">
        <v>61</v>
      </c>
      <c r="I98" s="10" t="s">
        <v>66</v>
      </c>
      <c r="J98" s="10" t="s">
        <v>61</v>
      </c>
      <c r="K98" s="10" t="s">
        <v>66</v>
      </c>
      <c r="L98" s="10" t="s">
        <v>66</v>
      </c>
      <c r="M98" s="10" t="s">
        <v>66</v>
      </c>
      <c r="N98" s="10" t="s">
        <v>208</v>
      </c>
      <c r="O98" s="10"/>
      <c r="P98" s="10"/>
      <c r="Q98" s="10" t="s">
        <v>466</v>
      </c>
      <c r="R98" s="10" t="s">
        <v>61</v>
      </c>
      <c r="S98" s="10" t="s">
        <v>249</v>
      </c>
      <c r="T98" s="10" t="n">
        <v>1</v>
      </c>
      <c r="U98" s="10" t="s">
        <v>61</v>
      </c>
      <c r="V98" s="10" t="s">
        <v>66</v>
      </c>
      <c r="W98" s="10"/>
      <c r="X98" s="10" t="n">
        <v>100</v>
      </c>
      <c r="Y98" s="10" t="n">
        <v>10</v>
      </c>
      <c r="Z98" s="11" t="n">
        <f aca="false">IF(AND(ISNUMBER(X98),ISNUMBER(Y98),X98&gt;0),1-Y98/X98,"")</f>
        <v>0.9</v>
      </c>
      <c r="AA98" s="10" t="s">
        <v>192</v>
      </c>
      <c r="AB98" s="10" t="s">
        <v>193</v>
      </c>
      <c r="AC98" s="10" t="s">
        <v>66</v>
      </c>
      <c r="AD98" s="10" t="s">
        <v>66</v>
      </c>
      <c r="AE98" s="10" t="n">
        <v>97.6</v>
      </c>
      <c r="AF98" s="12" t="str">
        <f aca="false">IF(ISNUMBER(AE98),IF(AE98&gt;99,"Y","N"),"")</f>
        <v>N</v>
      </c>
      <c r="AG98" s="10" t="s">
        <v>66</v>
      </c>
      <c r="AH98" s="10" t="s">
        <v>66</v>
      </c>
      <c r="AI98" s="10" t="s">
        <v>66</v>
      </c>
      <c r="AJ98" s="10" t="s">
        <v>61</v>
      </c>
      <c r="AK98" s="10" t="s">
        <v>61</v>
      </c>
      <c r="AL98" s="10" t="s">
        <v>66</v>
      </c>
      <c r="AM98" s="10" t="s">
        <v>61</v>
      </c>
      <c r="AN98" s="10" t="s">
        <v>66</v>
      </c>
      <c r="AO98" s="10" t="s">
        <v>66</v>
      </c>
      <c r="AP98" s="10" t="s">
        <v>66</v>
      </c>
      <c r="AQ98" s="10" t="s">
        <v>66</v>
      </c>
      <c r="AR98" s="10" t="s">
        <v>66</v>
      </c>
      <c r="AS98" s="10" t="s">
        <v>66</v>
      </c>
      <c r="AT98" s="10"/>
      <c r="AU98" s="10" t="s">
        <v>878</v>
      </c>
    </row>
    <row r="99" customFormat="false" ht="15" hidden="false" customHeight="false" outlineLevel="0" collapsed="false">
      <c r="A99" s="4" t="s">
        <v>879</v>
      </c>
      <c r="B99" s="10" t="s">
        <v>880</v>
      </c>
      <c r="C99" s="10" t="n">
        <v>2025</v>
      </c>
      <c r="D99" s="10" t="s">
        <v>881</v>
      </c>
      <c r="E99" s="10" t="s">
        <v>882</v>
      </c>
      <c r="F99" s="10" t="s">
        <v>60</v>
      </c>
      <c r="G99" s="10" t="s">
        <v>883</v>
      </c>
      <c r="H99" s="10" t="s">
        <v>61</v>
      </c>
      <c r="I99" s="10" t="s">
        <v>66</v>
      </c>
      <c r="J99" s="10" t="s">
        <v>61</v>
      </c>
      <c r="K99" s="10" t="s">
        <v>66</v>
      </c>
      <c r="L99" s="10" t="s">
        <v>66</v>
      </c>
      <c r="M99" s="10" t="s">
        <v>66</v>
      </c>
      <c r="N99" s="10" t="s">
        <v>208</v>
      </c>
      <c r="O99" s="10"/>
      <c r="P99" s="10"/>
      <c r="Q99" s="10" t="s">
        <v>420</v>
      </c>
      <c r="R99" s="10" t="s">
        <v>61</v>
      </c>
      <c r="S99" s="10" t="s">
        <v>326</v>
      </c>
      <c r="T99" s="10" t="n">
        <v>1</v>
      </c>
      <c r="U99" s="10" t="s">
        <v>61</v>
      </c>
      <c r="V99" s="10" t="s">
        <v>66</v>
      </c>
      <c r="W99" s="10" t="s">
        <v>201</v>
      </c>
      <c r="X99" s="10"/>
      <c r="Y99" s="10"/>
      <c r="Z99" s="11" t="str">
        <f aca="false">IF(AND(ISNUMBER(X99),ISNUMBER(Y99),X99&gt;0),1-Y99/X99,"")</f>
        <v/>
      </c>
      <c r="AA99" s="10" t="s">
        <v>356</v>
      </c>
      <c r="AB99" s="10" t="s">
        <v>193</v>
      </c>
      <c r="AC99" s="10" t="s">
        <v>66</v>
      </c>
      <c r="AD99" s="10" t="s">
        <v>61</v>
      </c>
      <c r="AE99" s="10" t="n">
        <v>94.28</v>
      </c>
      <c r="AF99" s="12" t="str">
        <f aca="false">IF(ISNUMBER(AE99),IF(AE99&gt;99,"Y","N"),"")</f>
        <v>N</v>
      </c>
      <c r="AG99" s="10" t="s">
        <v>66</v>
      </c>
      <c r="AH99" s="10" t="s">
        <v>66</v>
      </c>
      <c r="AI99" s="10" t="s">
        <v>66</v>
      </c>
      <c r="AJ99" s="10" t="s">
        <v>61</v>
      </c>
      <c r="AK99" s="10" t="s">
        <v>66</v>
      </c>
      <c r="AL99" s="10" t="s">
        <v>66</v>
      </c>
      <c r="AM99" s="10" t="s">
        <v>66</v>
      </c>
      <c r="AN99" s="10" t="s">
        <v>66</v>
      </c>
      <c r="AO99" s="10" t="s">
        <v>66</v>
      </c>
      <c r="AP99" s="10" t="s">
        <v>66</v>
      </c>
      <c r="AQ99" s="10" t="s">
        <v>66</v>
      </c>
      <c r="AR99" s="10" t="s">
        <v>66</v>
      </c>
      <c r="AS99" s="10" t="s">
        <v>66</v>
      </c>
      <c r="AT99" s="10"/>
      <c r="AU99" s="10" t="s">
        <v>884</v>
      </c>
    </row>
    <row r="100" customFormat="false" ht="15" hidden="false" customHeight="false" outlineLevel="0" collapsed="false">
      <c r="A100" s="4" t="s">
        <v>885</v>
      </c>
      <c r="B100" s="10" t="s">
        <v>886</v>
      </c>
      <c r="C100" s="10" t="n">
        <v>2025</v>
      </c>
      <c r="D100" s="10" t="s">
        <v>887</v>
      </c>
      <c r="E100" s="10" t="s">
        <v>888</v>
      </c>
      <c r="F100" s="10" t="s">
        <v>60</v>
      </c>
      <c r="G100" s="10" t="s">
        <v>889</v>
      </c>
      <c r="H100" s="10" t="s">
        <v>66</v>
      </c>
      <c r="I100" s="10" t="s">
        <v>66</v>
      </c>
      <c r="J100" s="10" t="s">
        <v>66</v>
      </c>
      <c r="K100" s="10" t="s">
        <v>66</v>
      </c>
      <c r="L100" s="10" t="s">
        <v>66</v>
      </c>
      <c r="M100" s="10" t="s">
        <v>66</v>
      </c>
      <c r="N100" s="10" t="s">
        <v>890</v>
      </c>
      <c r="O100" s="10"/>
      <c r="P100" s="10"/>
      <c r="Q100" s="10" t="s">
        <v>311</v>
      </c>
      <c r="R100" s="10" t="s">
        <v>61</v>
      </c>
      <c r="S100" s="10" t="s">
        <v>249</v>
      </c>
      <c r="T100" s="10" t="n">
        <v>1</v>
      </c>
      <c r="U100" s="10" t="s">
        <v>61</v>
      </c>
      <c r="V100" s="10" t="s">
        <v>66</v>
      </c>
      <c r="W100" s="10"/>
      <c r="X100" s="10"/>
      <c r="Y100" s="10"/>
      <c r="Z100" s="11" t="str">
        <f aca="false">IF(AND(ISNUMBER(X100),ISNUMBER(Y100),X100&gt;0),1-Y100/X100,"")</f>
        <v/>
      </c>
      <c r="AA100" s="10" t="s">
        <v>192</v>
      </c>
      <c r="AB100" s="10" t="s">
        <v>193</v>
      </c>
      <c r="AC100" s="10" t="s">
        <v>66</v>
      </c>
      <c r="AD100" s="10" t="s">
        <v>66</v>
      </c>
      <c r="AE100" s="10"/>
      <c r="AF100" s="12" t="str">
        <f aca="false">IF(ISNUMBER(AE100),IF(AE100&gt;99,"Y","N"),"")</f>
        <v/>
      </c>
      <c r="AG100" s="10" t="s">
        <v>66</v>
      </c>
      <c r="AH100" s="10" t="s">
        <v>61</v>
      </c>
      <c r="AI100" s="10" t="s">
        <v>66</v>
      </c>
      <c r="AJ100" s="10" t="s">
        <v>66</v>
      </c>
      <c r="AK100" s="10" t="s">
        <v>66</v>
      </c>
      <c r="AL100" s="10" t="s">
        <v>66</v>
      </c>
      <c r="AM100" s="10" t="s">
        <v>66</v>
      </c>
      <c r="AN100" s="10" t="s">
        <v>66</v>
      </c>
      <c r="AO100" s="10" t="s">
        <v>66</v>
      </c>
      <c r="AP100" s="10" t="s">
        <v>66</v>
      </c>
      <c r="AQ100" s="10" t="s">
        <v>61</v>
      </c>
      <c r="AR100" s="10" t="s">
        <v>66</v>
      </c>
      <c r="AS100" s="10" t="s">
        <v>66</v>
      </c>
      <c r="AT100" s="10"/>
      <c r="AU100" s="10" t="s">
        <v>891</v>
      </c>
    </row>
    <row r="101" customFormat="false" ht="15" hidden="false" customHeight="false" outlineLevel="0" collapsed="false">
      <c r="A101" s="4" t="s">
        <v>892</v>
      </c>
      <c r="B101" s="10" t="s">
        <v>893</v>
      </c>
      <c r="C101" s="10" t="n">
        <v>2025</v>
      </c>
      <c r="D101" s="10" t="s">
        <v>894</v>
      </c>
      <c r="E101" s="10" t="s">
        <v>895</v>
      </c>
      <c r="F101" s="10" t="s">
        <v>60</v>
      </c>
      <c r="G101" s="10" t="s">
        <v>896</v>
      </c>
      <c r="H101" s="10" t="s">
        <v>61</v>
      </c>
      <c r="I101" s="10" t="s">
        <v>66</v>
      </c>
      <c r="J101" s="10" t="s">
        <v>61</v>
      </c>
      <c r="K101" s="10" t="s">
        <v>66</v>
      </c>
      <c r="L101" s="10" t="s">
        <v>66</v>
      </c>
      <c r="M101" s="10" t="s">
        <v>61</v>
      </c>
      <c r="N101" s="10" t="s">
        <v>208</v>
      </c>
      <c r="O101" s="10"/>
      <c r="P101" s="10"/>
      <c r="Q101" s="10" t="s">
        <v>897</v>
      </c>
      <c r="R101" s="10" t="s">
        <v>61</v>
      </c>
      <c r="S101" s="10" t="s">
        <v>394</v>
      </c>
      <c r="T101" s="10" t="n">
        <v>2</v>
      </c>
      <c r="U101" s="10" t="s">
        <v>66</v>
      </c>
      <c r="V101" s="10" t="s">
        <v>66</v>
      </c>
      <c r="W101" s="10"/>
      <c r="X101" s="10"/>
      <c r="Y101" s="10"/>
      <c r="Z101" s="11" t="str">
        <f aca="false">IF(AND(ISNUMBER(X101),ISNUMBER(Y101),X101&gt;0),1-Y101/X101,"")</f>
        <v/>
      </c>
      <c r="AA101" s="10" t="s">
        <v>356</v>
      </c>
      <c r="AB101" s="10" t="s">
        <v>193</v>
      </c>
      <c r="AC101" s="10" t="s">
        <v>66</v>
      </c>
      <c r="AD101" s="10" t="s">
        <v>66</v>
      </c>
      <c r="AE101" s="10" t="n">
        <v>99.32</v>
      </c>
      <c r="AF101" s="12" t="str">
        <f aca="false">IF(ISNUMBER(AE101),IF(AE101&gt;99,"Y","N"),"")</f>
        <v>Y</v>
      </c>
      <c r="AG101" s="10" t="s">
        <v>61</v>
      </c>
      <c r="AH101" s="10" t="s">
        <v>66</v>
      </c>
      <c r="AI101" s="10" t="s">
        <v>66</v>
      </c>
      <c r="AJ101" s="10" t="s">
        <v>61</v>
      </c>
      <c r="AK101" s="10" t="s">
        <v>66</v>
      </c>
      <c r="AL101" s="10" t="s">
        <v>66</v>
      </c>
      <c r="AM101" s="10" t="s">
        <v>66</v>
      </c>
      <c r="AN101" s="10" t="s">
        <v>66</v>
      </c>
      <c r="AO101" s="10" t="s">
        <v>66</v>
      </c>
      <c r="AP101" s="10" t="s">
        <v>66</v>
      </c>
      <c r="AQ101" s="10" t="s">
        <v>66</v>
      </c>
      <c r="AR101" s="10" t="s">
        <v>66</v>
      </c>
      <c r="AS101" s="10" t="s">
        <v>66</v>
      </c>
      <c r="AT101" s="10"/>
      <c r="AU101" s="10" t="s">
        <v>898</v>
      </c>
    </row>
    <row r="102" customFormat="false" ht="15" hidden="false" customHeight="false" outlineLevel="0" collapsed="false">
      <c r="A102" s="4" t="s">
        <v>899</v>
      </c>
      <c r="B102" s="10" t="s">
        <v>900</v>
      </c>
      <c r="C102" s="10" t="n">
        <v>2025</v>
      </c>
      <c r="D102" s="10" t="s">
        <v>901</v>
      </c>
      <c r="E102" s="10" t="s">
        <v>478</v>
      </c>
      <c r="F102" s="10" t="s">
        <v>60</v>
      </c>
      <c r="G102" s="10" t="s">
        <v>902</v>
      </c>
      <c r="H102" s="10" t="s">
        <v>61</v>
      </c>
      <c r="I102" s="10" t="s">
        <v>66</v>
      </c>
      <c r="J102" s="10" t="s">
        <v>61</v>
      </c>
      <c r="K102" s="10" t="s">
        <v>61</v>
      </c>
      <c r="L102" s="10" t="s">
        <v>66</v>
      </c>
      <c r="M102" s="10" t="s">
        <v>66</v>
      </c>
      <c r="N102" s="10" t="s">
        <v>208</v>
      </c>
      <c r="O102" s="10"/>
      <c r="P102" s="10"/>
      <c r="Q102" s="10" t="s">
        <v>539</v>
      </c>
      <c r="R102" s="10" t="s">
        <v>61</v>
      </c>
      <c r="S102" s="10" t="s">
        <v>790</v>
      </c>
      <c r="T102" s="10" t="n">
        <v>2</v>
      </c>
      <c r="U102" s="10" t="s">
        <v>66</v>
      </c>
      <c r="V102" s="10" t="s">
        <v>66</v>
      </c>
      <c r="W102" s="10" t="s">
        <v>201</v>
      </c>
      <c r="X102" s="10" t="n">
        <v>12</v>
      </c>
      <c r="Y102" s="10" t="n">
        <v>5</v>
      </c>
      <c r="Z102" s="11" t="n">
        <f aca="false">IF(AND(ISNUMBER(X102),ISNUMBER(Y102),X102&gt;0),1-Y102/X102,"")</f>
        <v>0.583333333333333</v>
      </c>
      <c r="AA102" s="10" t="s">
        <v>202</v>
      </c>
      <c r="AB102" s="10" t="s">
        <v>193</v>
      </c>
      <c r="AC102" s="10" t="s">
        <v>66</v>
      </c>
      <c r="AD102" s="10" t="s">
        <v>66</v>
      </c>
      <c r="AE102" s="10" t="n">
        <v>99.93</v>
      </c>
      <c r="AF102" s="12" t="str">
        <f aca="false">IF(ISNUMBER(AE102),IF(AE102&gt;99,"Y","N"),"")</f>
        <v>Y</v>
      </c>
      <c r="AG102" s="10" t="s">
        <v>61</v>
      </c>
      <c r="AH102" s="10" t="s">
        <v>66</v>
      </c>
      <c r="AI102" s="10" t="s">
        <v>66</v>
      </c>
      <c r="AJ102" s="10" t="s">
        <v>61</v>
      </c>
      <c r="AK102" s="10" t="s">
        <v>66</v>
      </c>
      <c r="AL102" s="10" t="s">
        <v>66</v>
      </c>
      <c r="AM102" s="10" t="s">
        <v>66</v>
      </c>
      <c r="AN102" s="10" t="s">
        <v>66</v>
      </c>
      <c r="AO102" s="10" t="s">
        <v>66</v>
      </c>
      <c r="AP102" s="10" t="s">
        <v>66</v>
      </c>
      <c r="AQ102" s="10" t="s">
        <v>66</v>
      </c>
      <c r="AR102" s="10" t="s">
        <v>66</v>
      </c>
      <c r="AS102" s="10" t="s">
        <v>66</v>
      </c>
      <c r="AT102" s="10"/>
      <c r="AU102" s="10" t="s">
        <v>903</v>
      </c>
    </row>
    <row r="103" customFormat="false" ht="15" hidden="false" customHeight="false" outlineLevel="0" collapsed="false">
      <c r="A103" s="4" t="s">
        <v>904</v>
      </c>
      <c r="B103" s="10" t="s">
        <v>905</v>
      </c>
      <c r="C103" s="10" t="n">
        <v>2025</v>
      </c>
      <c r="D103" s="10" t="s">
        <v>906</v>
      </c>
      <c r="E103" s="10" t="s">
        <v>907</v>
      </c>
      <c r="F103" s="10" t="s">
        <v>60</v>
      </c>
      <c r="G103" s="10"/>
      <c r="H103" s="10" t="s">
        <v>61</v>
      </c>
      <c r="I103" s="10" t="s">
        <v>66</v>
      </c>
      <c r="J103" s="10" t="s">
        <v>66</v>
      </c>
      <c r="K103" s="10" t="s">
        <v>66</v>
      </c>
      <c r="L103" s="10" t="s">
        <v>66</v>
      </c>
      <c r="M103" s="10" t="s">
        <v>61</v>
      </c>
      <c r="N103" s="10" t="s">
        <v>20</v>
      </c>
      <c r="O103" s="10"/>
      <c r="P103" s="10"/>
      <c r="Q103" s="10" t="s">
        <v>603</v>
      </c>
      <c r="R103" s="10" t="s">
        <v>61</v>
      </c>
      <c r="S103" s="10" t="s">
        <v>756</v>
      </c>
      <c r="T103" s="10" t="n">
        <v>1</v>
      </c>
      <c r="U103" s="10" t="s">
        <v>66</v>
      </c>
      <c r="V103" s="10" t="s">
        <v>66</v>
      </c>
      <c r="W103" s="10"/>
      <c r="X103" s="10"/>
      <c r="Y103" s="10"/>
      <c r="Z103" s="11" t="str">
        <f aca="false">IF(AND(ISNUMBER(X103),ISNUMBER(Y103),X103&gt;0),1-Y103/X103,"")</f>
        <v/>
      </c>
      <c r="AA103" s="10" t="s">
        <v>356</v>
      </c>
      <c r="AB103" s="10" t="s">
        <v>193</v>
      </c>
      <c r="AC103" s="10" t="s">
        <v>66</v>
      </c>
      <c r="AD103" s="10" t="s">
        <v>61</v>
      </c>
      <c r="AE103" s="10" t="n">
        <v>98.6123</v>
      </c>
      <c r="AF103" s="12" t="str">
        <f aca="false">IF(ISNUMBER(AE103),IF(AE103&gt;99,"Y","N"),"")</f>
        <v>N</v>
      </c>
      <c r="AG103" s="10" t="s">
        <v>66</v>
      </c>
      <c r="AH103" s="10" t="s">
        <v>66</v>
      </c>
      <c r="AI103" s="10" t="s">
        <v>66</v>
      </c>
      <c r="AJ103" s="10" t="s">
        <v>61</v>
      </c>
      <c r="AK103" s="10" t="s">
        <v>66</v>
      </c>
      <c r="AL103" s="10" t="s">
        <v>61</v>
      </c>
      <c r="AM103" s="10" t="s">
        <v>66</v>
      </c>
      <c r="AN103" s="10" t="s">
        <v>66</v>
      </c>
      <c r="AO103" s="10" t="s">
        <v>66</v>
      </c>
      <c r="AP103" s="10" t="s">
        <v>66</v>
      </c>
      <c r="AQ103" s="10" t="s">
        <v>66</v>
      </c>
      <c r="AR103" s="10" t="s">
        <v>66</v>
      </c>
      <c r="AS103" s="10" t="s">
        <v>66</v>
      </c>
      <c r="AT103" s="10"/>
      <c r="AU103" s="10" t="s">
        <v>908</v>
      </c>
    </row>
    <row r="104" customFormat="false" ht="15" hidden="false" customHeight="false" outlineLevel="0" collapsed="false">
      <c r="A104" s="4" t="s">
        <v>909</v>
      </c>
      <c r="B104" s="10" t="s">
        <v>910</v>
      </c>
      <c r="C104" s="10" t="n">
        <v>2025</v>
      </c>
      <c r="D104" s="10" t="s">
        <v>911</v>
      </c>
      <c r="E104" s="10" t="s">
        <v>523</v>
      </c>
      <c r="F104" s="10" t="s">
        <v>60</v>
      </c>
      <c r="G104" s="10" t="s">
        <v>912</v>
      </c>
      <c r="H104" s="10" t="s">
        <v>61</v>
      </c>
      <c r="I104" s="10" t="s">
        <v>66</v>
      </c>
      <c r="J104" s="10" t="s">
        <v>66</v>
      </c>
      <c r="K104" s="10" t="s">
        <v>66</v>
      </c>
      <c r="L104" s="10" t="s">
        <v>66</v>
      </c>
      <c r="M104" s="10" t="s">
        <v>61</v>
      </c>
      <c r="N104" s="10" t="s">
        <v>16</v>
      </c>
      <c r="O104" s="10"/>
      <c r="P104" s="10"/>
      <c r="Q104" s="10" t="s">
        <v>913</v>
      </c>
      <c r="R104" s="10" t="s">
        <v>61</v>
      </c>
      <c r="S104" s="10" t="s">
        <v>233</v>
      </c>
      <c r="T104" s="10" t="n">
        <v>2</v>
      </c>
      <c r="U104" s="10" t="s">
        <v>66</v>
      </c>
      <c r="V104" s="10" t="s">
        <v>66</v>
      </c>
      <c r="W104" s="10" t="s">
        <v>65</v>
      </c>
      <c r="X104" s="10"/>
      <c r="Y104" s="10"/>
      <c r="Z104" s="11" t="str">
        <f aca="false">IF(AND(ISNUMBER(X104),ISNUMBER(Y104),X104&gt;0),1-Y104/X104,"")</f>
        <v/>
      </c>
      <c r="AA104" s="10" t="s">
        <v>192</v>
      </c>
      <c r="AB104" s="10" t="s">
        <v>193</v>
      </c>
      <c r="AC104" s="10" t="s">
        <v>66</v>
      </c>
      <c r="AD104" s="10" t="s">
        <v>61</v>
      </c>
      <c r="AE104" s="10"/>
      <c r="AF104" s="12" t="str">
        <f aca="false">IF(ISNUMBER(AE104),IF(AE104&gt;99,"Y","N"),"")</f>
        <v/>
      </c>
      <c r="AG104" s="10" t="s">
        <v>66</v>
      </c>
      <c r="AH104" s="10" t="s">
        <v>66</v>
      </c>
      <c r="AI104" s="10" t="s">
        <v>61</v>
      </c>
      <c r="AJ104" s="10" t="s">
        <v>61</v>
      </c>
      <c r="AK104" s="10" t="s">
        <v>61</v>
      </c>
      <c r="AL104" s="10" t="s">
        <v>66</v>
      </c>
      <c r="AM104" s="10" t="s">
        <v>66</v>
      </c>
      <c r="AN104" s="10" t="s">
        <v>66</v>
      </c>
      <c r="AO104" s="10" t="s">
        <v>66</v>
      </c>
      <c r="AP104" s="10" t="s">
        <v>66</v>
      </c>
      <c r="AQ104" s="10" t="s">
        <v>66</v>
      </c>
      <c r="AR104" s="10" t="s">
        <v>66</v>
      </c>
      <c r="AS104" s="10" t="s">
        <v>66</v>
      </c>
      <c r="AT104" s="10"/>
      <c r="AU104" s="10" t="s">
        <v>914</v>
      </c>
    </row>
    <row r="105" customFormat="false" ht="15" hidden="false" customHeight="false" outlineLevel="0" collapsed="false">
      <c r="A105" s="4" t="s">
        <v>915</v>
      </c>
      <c r="B105" s="10" t="s">
        <v>916</v>
      </c>
      <c r="C105" s="10" t="n">
        <v>2025</v>
      </c>
      <c r="D105" s="10" t="s">
        <v>917</v>
      </c>
      <c r="E105" s="10" t="s">
        <v>478</v>
      </c>
      <c r="F105" s="10" t="s">
        <v>60</v>
      </c>
      <c r="G105" s="10" t="s">
        <v>918</v>
      </c>
      <c r="H105" s="10" t="s">
        <v>66</v>
      </c>
      <c r="I105" s="10" t="s">
        <v>66</v>
      </c>
      <c r="J105" s="10" t="s">
        <v>61</v>
      </c>
      <c r="K105" s="10" t="s">
        <v>66</v>
      </c>
      <c r="L105" s="10" t="s">
        <v>66</v>
      </c>
      <c r="M105" s="10" t="s">
        <v>66</v>
      </c>
      <c r="N105" s="10" t="s">
        <v>208</v>
      </c>
      <c r="O105" s="10"/>
      <c r="P105" s="10"/>
      <c r="Q105" s="10" t="s">
        <v>919</v>
      </c>
      <c r="R105" s="10" t="s">
        <v>61</v>
      </c>
      <c r="S105" s="10" t="s">
        <v>583</v>
      </c>
      <c r="T105" s="10" t="n">
        <v>1</v>
      </c>
      <c r="U105" s="10" t="s">
        <v>66</v>
      </c>
      <c r="V105" s="10" t="s">
        <v>66</v>
      </c>
      <c r="W105" s="10" t="s">
        <v>65</v>
      </c>
      <c r="X105" s="10"/>
      <c r="Y105" s="10"/>
      <c r="Z105" s="11" t="str">
        <f aca="false">IF(AND(ISNUMBER(X105),ISNUMBER(Y105),X105&gt;0),1-Y105/X105,"")</f>
        <v/>
      </c>
      <c r="AA105" s="10" t="s">
        <v>202</v>
      </c>
      <c r="AB105" s="10" t="s">
        <v>61</v>
      </c>
      <c r="AC105" s="10" t="s">
        <v>66</v>
      </c>
      <c r="AD105" s="10" t="s">
        <v>66</v>
      </c>
      <c r="AE105" s="10" t="n">
        <v>92</v>
      </c>
      <c r="AF105" s="12" t="str">
        <f aca="false">IF(ISNUMBER(AE105),IF(AE105&gt;99,"Y","N"),"")</f>
        <v>N</v>
      </c>
      <c r="AG105" s="10" t="s">
        <v>66</v>
      </c>
      <c r="AH105" s="10" t="s">
        <v>66</v>
      </c>
      <c r="AI105" s="10" t="s">
        <v>61</v>
      </c>
      <c r="AJ105" s="10" t="s">
        <v>66</v>
      </c>
      <c r="AK105" s="10" t="s">
        <v>61</v>
      </c>
      <c r="AL105" s="10" t="s">
        <v>66</v>
      </c>
      <c r="AM105" s="10" t="s">
        <v>66</v>
      </c>
      <c r="AN105" s="10" t="s">
        <v>66</v>
      </c>
      <c r="AO105" s="10" t="s">
        <v>66</v>
      </c>
      <c r="AP105" s="10" t="s">
        <v>66</v>
      </c>
      <c r="AQ105" s="10" t="s">
        <v>66</v>
      </c>
      <c r="AR105" s="10" t="s">
        <v>66</v>
      </c>
      <c r="AS105" s="10" t="s">
        <v>66</v>
      </c>
      <c r="AT105" s="10"/>
      <c r="AU105" s="10" t="s">
        <v>920</v>
      </c>
    </row>
    <row r="106" customFormat="false" ht="15" hidden="false" customHeight="false" outlineLevel="0" collapsed="false">
      <c r="A106" s="4" t="s">
        <v>921</v>
      </c>
      <c r="B106" s="10"/>
      <c r="C106" s="10" t="n">
        <v>2025</v>
      </c>
      <c r="D106" s="10" t="s">
        <v>922</v>
      </c>
      <c r="E106" s="10" t="s">
        <v>923</v>
      </c>
      <c r="F106" s="10" t="s">
        <v>60</v>
      </c>
      <c r="G106" s="10" t="s">
        <v>924</v>
      </c>
      <c r="H106" s="10" t="s">
        <v>61</v>
      </c>
      <c r="I106" s="10" t="s">
        <v>66</v>
      </c>
      <c r="J106" s="10" t="s">
        <v>66</v>
      </c>
      <c r="K106" s="10" t="s">
        <v>66</v>
      </c>
      <c r="L106" s="10" t="s">
        <v>66</v>
      </c>
      <c r="M106" s="10" t="s">
        <v>61</v>
      </c>
      <c r="N106" s="10" t="s">
        <v>16</v>
      </c>
      <c r="O106" s="10"/>
      <c r="P106" s="10"/>
      <c r="Q106" s="10" t="s">
        <v>925</v>
      </c>
      <c r="R106" s="10" t="s">
        <v>61</v>
      </c>
      <c r="S106" s="10" t="s">
        <v>518</v>
      </c>
      <c r="T106" s="10" t="n">
        <v>1</v>
      </c>
      <c r="U106" s="10" t="s">
        <v>66</v>
      </c>
      <c r="V106" s="10" t="s">
        <v>66</v>
      </c>
      <c r="W106" s="10" t="s">
        <v>65</v>
      </c>
      <c r="X106" s="10"/>
      <c r="Y106" s="10"/>
      <c r="Z106" s="11" t="str">
        <f aca="false">IF(AND(ISNUMBER(X106),ISNUMBER(Y106),X106&gt;0),1-Y106/X106,"")</f>
        <v/>
      </c>
      <c r="AA106" s="10" t="s">
        <v>356</v>
      </c>
      <c r="AB106" s="10" t="s">
        <v>193</v>
      </c>
      <c r="AC106" s="10" t="s">
        <v>66</v>
      </c>
      <c r="AD106" s="10" t="s">
        <v>61</v>
      </c>
      <c r="AE106" s="10" t="n">
        <v>99.9</v>
      </c>
      <c r="AF106" s="12" t="str">
        <f aca="false">IF(ISNUMBER(AE106),IF(AE106&gt;99,"Y","N"),"")</f>
        <v>Y</v>
      </c>
      <c r="AG106" s="10" t="s">
        <v>66</v>
      </c>
      <c r="AH106" s="10" t="s">
        <v>66</v>
      </c>
      <c r="AI106" s="10" t="s">
        <v>66</v>
      </c>
      <c r="AJ106" s="10" t="s">
        <v>61</v>
      </c>
      <c r="AK106" s="10" t="s">
        <v>66</v>
      </c>
      <c r="AL106" s="10" t="s">
        <v>66</v>
      </c>
      <c r="AM106" s="10" t="s">
        <v>66</v>
      </c>
      <c r="AN106" s="10" t="s">
        <v>66</v>
      </c>
      <c r="AO106" s="10" t="s">
        <v>66</v>
      </c>
      <c r="AP106" s="10" t="s">
        <v>66</v>
      </c>
      <c r="AQ106" s="10" t="s">
        <v>66</v>
      </c>
      <c r="AR106" s="10" t="s">
        <v>66</v>
      </c>
      <c r="AS106" s="10" t="s">
        <v>66</v>
      </c>
      <c r="AT106" s="10"/>
      <c r="AU106" s="10" t="s">
        <v>926</v>
      </c>
    </row>
    <row r="107" customFormat="false" ht="15" hidden="false" customHeight="false" outlineLevel="0" collapsed="false">
      <c r="A107" s="4" t="s">
        <v>927</v>
      </c>
      <c r="B107" s="10" t="s">
        <v>928</v>
      </c>
      <c r="C107" s="10" t="n">
        <v>2025</v>
      </c>
      <c r="D107" s="10" t="s">
        <v>929</v>
      </c>
      <c r="E107" s="10" t="s">
        <v>530</v>
      </c>
      <c r="F107" s="10" t="s">
        <v>60</v>
      </c>
      <c r="G107" s="10" t="s">
        <v>930</v>
      </c>
      <c r="H107" s="10" t="s">
        <v>66</v>
      </c>
      <c r="I107" s="10" t="s">
        <v>66</v>
      </c>
      <c r="J107" s="10" t="s">
        <v>61</v>
      </c>
      <c r="K107" s="10" t="s">
        <v>66</v>
      </c>
      <c r="L107" s="10" t="s">
        <v>66</v>
      </c>
      <c r="M107" s="10" t="s">
        <v>61</v>
      </c>
      <c r="N107" s="10" t="s">
        <v>208</v>
      </c>
      <c r="O107" s="10"/>
      <c r="P107" s="10"/>
      <c r="Q107" s="10" t="s">
        <v>931</v>
      </c>
      <c r="R107" s="10" t="s">
        <v>61</v>
      </c>
      <c r="S107" s="10" t="s">
        <v>756</v>
      </c>
      <c r="T107" s="10" t="n">
        <v>1</v>
      </c>
      <c r="U107" s="10" t="s">
        <v>66</v>
      </c>
      <c r="V107" s="10" t="s">
        <v>66</v>
      </c>
      <c r="W107" s="10"/>
      <c r="X107" s="10"/>
      <c r="Y107" s="10"/>
      <c r="Z107" s="11" t="str">
        <f aca="false">IF(AND(ISNUMBER(X107),ISNUMBER(Y107),X107&gt;0),1-Y107/X107,"")</f>
        <v/>
      </c>
      <c r="AA107" s="10" t="s">
        <v>192</v>
      </c>
      <c r="AB107" s="10" t="s">
        <v>193</v>
      </c>
      <c r="AC107" s="10" t="s">
        <v>66</v>
      </c>
      <c r="AD107" s="10" t="s">
        <v>61</v>
      </c>
      <c r="AE107" s="10" t="n">
        <v>99.4</v>
      </c>
      <c r="AF107" s="12" t="str">
        <f aca="false">IF(ISNUMBER(AE107),IF(AE107&gt;99,"Y","N"),"")</f>
        <v>Y</v>
      </c>
      <c r="AG107" s="10" t="s">
        <v>61</v>
      </c>
      <c r="AH107" s="10" t="s">
        <v>66</v>
      </c>
      <c r="AI107" s="10" t="s">
        <v>66</v>
      </c>
      <c r="AJ107" s="10" t="s">
        <v>66</v>
      </c>
      <c r="AK107" s="10" t="s">
        <v>66</v>
      </c>
      <c r="AL107" s="10" t="s">
        <v>66</v>
      </c>
      <c r="AM107" s="10" t="s">
        <v>66</v>
      </c>
      <c r="AN107" s="10" t="s">
        <v>66</v>
      </c>
      <c r="AO107" s="10" t="s">
        <v>66</v>
      </c>
      <c r="AP107" s="10" t="s">
        <v>66</v>
      </c>
      <c r="AQ107" s="10" t="s">
        <v>66</v>
      </c>
      <c r="AR107" s="10" t="s">
        <v>66</v>
      </c>
      <c r="AS107" s="10" t="s">
        <v>66</v>
      </c>
      <c r="AT107" s="10"/>
      <c r="AU107" s="10" t="s">
        <v>932</v>
      </c>
    </row>
    <row r="108" customFormat="false" ht="15" hidden="false" customHeight="false" outlineLevel="0" collapsed="false">
      <c r="A108" s="4" t="s">
        <v>933</v>
      </c>
      <c r="B108" s="10" t="s">
        <v>934</v>
      </c>
      <c r="C108" s="10" t="n">
        <v>2025</v>
      </c>
      <c r="D108" s="10" t="s">
        <v>935</v>
      </c>
      <c r="E108" s="10" t="s">
        <v>530</v>
      </c>
      <c r="F108" s="10" t="s">
        <v>60</v>
      </c>
      <c r="G108" s="10" t="s">
        <v>936</v>
      </c>
      <c r="H108" s="10" t="s">
        <v>66</v>
      </c>
      <c r="I108" s="10" t="s">
        <v>66</v>
      </c>
      <c r="J108" s="10" t="s">
        <v>61</v>
      </c>
      <c r="K108" s="10" t="s">
        <v>66</v>
      </c>
      <c r="L108" s="10" t="s">
        <v>61</v>
      </c>
      <c r="M108" s="10" t="s">
        <v>61</v>
      </c>
      <c r="N108" s="10" t="s">
        <v>208</v>
      </c>
      <c r="O108" s="10"/>
      <c r="P108" s="10"/>
      <c r="Q108" s="10" t="s">
        <v>937</v>
      </c>
      <c r="R108" s="10" t="s">
        <v>61</v>
      </c>
      <c r="S108" s="10" t="s">
        <v>326</v>
      </c>
      <c r="T108" s="10" t="n">
        <v>1</v>
      </c>
      <c r="U108" s="10" t="s">
        <v>61</v>
      </c>
      <c r="V108" s="10" t="s">
        <v>66</v>
      </c>
      <c r="W108" s="10" t="s">
        <v>201</v>
      </c>
      <c r="X108" s="10"/>
      <c r="Y108" s="10"/>
      <c r="Z108" s="11" t="str">
        <f aca="false">IF(AND(ISNUMBER(X108),ISNUMBER(Y108),X108&gt;0),1-Y108/X108,"")</f>
        <v/>
      </c>
      <c r="AA108" s="10" t="s">
        <v>192</v>
      </c>
      <c r="AB108" s="10" t="s">
        <v>193</v>
      </c>
      <c r="AC108" s="10" t="s">
        <v>66</v>
      </c>
      <c r="AD108" s="10" t="s">
        <v>66</v>
      </c>
      <c r="AE108" s="10" t="n">
        <v>99.71</v>
      </c>
      <c r="AF108" s="12" t="str">
        <f aca="false">IF(ISNUMBER(AE108),IF(AE108&gt;99,"Y","N"),"")</f>
        <v>Y</v>
      </c>
      <c r="AG108" s="10" t="s">
        <v>61</v>
      </c>
      <c r="AH108" s="10" t="s">
        <v>66</v>
      </c>
      <c r="AI108" s="10" t="s">
        <v>66</v>
      </c>
      <c r="AJ108" s="10" t="s">
        <v>61</v>
      </c>
      <c r="AK108" s="10" t="s">
        <v>66</v>
      </c>
      <c r="AL108" s="10" t="s">
        <v>66</v>
      </c>
      <c r="AM108" s="10" t="s">
        <v>66</v>
      </c>
      <c r="AN108" s="10" t="s">
        <v>66</v>
      </c>
      <c r="AO108" s="10" t="s">
        <v>61</v>
      </c>
      <c r="AP108" s="10" t="s">
        <v>66</v>
      </c>
      <c r="AQ108" s="10" t="s">
        <v>66</v>
      </c>
      <c r="AR108" s="10" t="s">
        <v>66</v>
      </c>
      <c r="AS108" s="10" t="s">
        <v>66</v>
      </c>
      <c r="AT108" s="10"/>
      <c r="AU108" s="10" t="s">
        <v>938</v>
      </c>
    </row>
    <row r="109" customFormat="false" ht="15" hidden="false" customHeight="false" outlineLevel="0" collapsed="false">
      <c r="A109" s="4" t="s">
        <v>939</v>
      </c>
      <c r="B109" s="10" t="s">
        <v>940</v>
      </c>
      <c r="C109" s="10" t="n">
        <v>2025</v>
      </c>
      <c r="D109" s="10" t="s">
        <v>941</v>
      </c>
      <c r="E109" s="10" t="s">
        <v>942</v>
      </c>
      <c r="F109" s="10" t="s">
        <v>60</v>
      </c>
      <c r="G109" s="10" t="s">
        <v>943</v>
      </c>
      <c r="H109" s="10" t="s">
        <v>61</v>
      </c>
      <c r="I109" s="10" t="s">
        <v>66</v>
      </c>
      <c r="J109" s="10" t="s">
        <v>61</v>
      </c>
      <c r="K109" s="10" t="s">
        <v>61</v>
      </c>
      <c r="L109" s="10" t="s">
        <v>61</v>
      </c>
      <c r="M109" s="10" t="s">
        <v>61</v>
      </c>
      <c r="N109" s="10" t="s">
        <v>20</v>
      </c>
      <c r="O109" s="10"/>
      <c r="P109" s="10"/>
      <c r="Q109" s="10" t="s">
        <v>944</v>
      </c>
      <c r="R109" s="10" t="s">
        <v>61</v>
      </c>
      <c r="S109" s="10" t="s">
        <v>945</v>
      </c>
      <c r="T109" s="10" t="n">
        <v>3</v>
      </c>
      <c r="U109" s="10" t="s">
        <v>61</v>
      </c>
      <c r="V109" s="10" t="s">
        <v>66</v>
      </c>
      <c r="W109" s="10" t="s">
        <v>65</v>
      </c>
      <c r="X109" s="10" t="n">
        <v>79</v>
      </c>
      <c r="Y109" s="10" t="n">
        <v>60</v>
      </c>
      <c r="Z109" s="11" t="n">
        <f aca="false">IF(AND(ISNUMBER(X109),ISNUMBER(Y109),X109&gt;0),1-Y109/X109,"")</f>
        <v>0.240506329113924</v>
      </c>
      <c r="AA109" s="10" t="s">
        <v>356</v>
      </c>
      <c r="AB109" s="10" t="s">
        <v>193</v>
      </c>
      <c r="AC109" s="10" t="s">
        <v>61</v>
      </c>
      <c r="AD109" s="10" t="s">
        <v>61</v>
      </c>
      <c r="AE109" s="10" t="n">
        <v>100</v>
      </c>
      <c r="AF109" s="12" t="str">
        <f aca="false">IF(ISNUMBER(AE109),IF(AE109&gt;99,"Y","N"),"")</f>
        <v>Y</v>
      </c>
      <c r="AG109" s="10" t="s">
        <v>61</v>
      </c>
      <c r="AH109" s="10" t="s">
        <v>66</v>
      </c>
      <c r="AI109" s="10" t="s">
        <v>61</v>
      </c>
      <c r="AJ109" s="10" t="s">
        <v>61</v>
      </c>
      <c r="AK109" s="10" t="s">
        <v>61</v>
      </c>
      <c r="AL109" s="10" t="s">
        <v>66</v>
      </c>
      <c r="AM109" s="10" t="s">
        <v>66</v>
      </c>
      <c r="AN109" s="10" t="s">
        <v>66</v>
      </c>
      <c r="AO109" s="10" t="s">
        <v>66</v>
      </c>
      <c r="AP109" s="10" t="s">
        <v>66</v>
      </c>
      <c r="AQ109" s="10" t="s">
        <v>61</v>
      </c>
      <c r="AR109" s="10" t="s">
        <v>66</v>
      </c>
      <c r="AS109" s="10" t="s">
        <v>66</v>
      </c>
      <c r="AT109" s="10"/>
      <c r="AU109" s="10" t="s">
        <v>946</v>
      </c>
    </row>
    <row r="110" customFormat="false" ht="15" hidden="false" customHeight="false" outlineLevel="0" collapsed="false">
      <c r="A110" s="4" t="s">
        <v>947</v>
      </c>
      <c r="B110" s="10" t="s">
        <v>948</v>
      </c>
      <c r="C110" s="10" t="n">
        <v>2025</v>
      </c>
      <c r="D110" s="10" t="s">
        <v>949</v>
      </c>
      <c r="E110" s="10" t="s">
        <v>950</v>
      </c>
      <c r="F110" s="10" t="s">
        <v>60</v>
      </c>
      <c r="G110" s="10" t="s">
        <v>951</v>
      </c>
      <c r="H110" s="10" t="s">
        <v>61</v>
      </c>
      <c r="I110" s="10" t="s">
        <v>66</v>
      </c>
      <c r="J110" s="10" t="s">
        <v>61</v>
      </c>
      <c r="K110" s="10" t="s">
        <v>61</v>
      </c>
      <c r="L110" s="10" t="s">
        <v>61</v>
      </c>
      <c r="M110" s="10" t="s">
        <v>66</v>
      </c>
      <c r="N110" s="10" t="s">
        <v>208</v>
      </c>
      <c r="O110" s="10"/>
      <c r="P110" s="10"/>
      <c r="Q110" s="10" t="s">
        <v>952</v>
      </c>
      <c r="R110" s="10" t="s">
        <v>61</v>
      </c>
      <c r="S110" s="10" t="s">
        <v>233</v>
      </c>
      <c r="T110" s="10" t="n">
        <v>2</v>
      </c>
      <c r="U110" s="10" t="s">
        <v>66</v>
      </c>
      <c r="V110" s="10" t="s">
        <v>66</v>
      </c>
      <c r="W110" s="10" t="s">
        <v>201</v>
      </c>
      <c r="X110" s="10"/>
      <c r="Y110" s="10"/>
      <c r="Z110" s="11" t="str">
        <f aca="false">IF(AND(ISNUMBER(X110),ISNUMBER(Y110),X110&gt;0),1-Y110/X110,"")</f>
        <v/>
      </c>
      <c r="AA110" s="10" t="s">
        <v>192</v>
      </c>
      <c r="AB110" s="10" t="s">
        <v>193</v>
      </c>
      <c r="AC110" s="10" t="s">
        <v>66</v>
      </c>
      <c r="AD110" s="10" t="s">
        <v>66</v>
      </c>
      <c r="AE110" s="10" t="n">
        <v>98.44</v>
      </c>
      <c r="AF110" s="12" t="str">
        <f aca="false">IF(ISNUMBER(AE110),IF(AE110&gt;99,"Y","N"),"")</f>
        <v>N</v>
      </c>
      <c r="AG110" s="10" t="s">
        <v>66</v>
      </c>
      <c r="AH110" s="10" t="s">
        <v>61</v>
      </c>
      <c r="AI110" s="10" t="s">
        <v>66</v>
      </c>
      <c r="AJ110" s="10" t="s">
        <v>66</v>
      </c>
      <c r="AK110" s="10" t="s">
        <v>61</v>
      </c>
      <c r="AL110" s="10" t="s">
        <v>66</v>
      </c>
      <c r="AM110" s="10" t="s">
        <v>66</v>
      </c>
      <c r="AN110" s="10" t="s">
        <v>66</v>
      </c>
      <c r="AO110" s="10" t="s">
        <v>66</v>
      </c>
      <c r="AP110" s="10" t="s">
        <v>66</v>
      </c>
      <c r="AQ110" s="10" t="s">
        <v>66</v>
      </c>
      <c r="AR110" s="10" t="s">
        <v>66</v>
      </c>
      <c r="AS110" s="10" t="s">
        <v>66</v>
      </c>
      <c r="AT110" s="10"/>
      <c r="AU110" s="10" t="s">
        <v>953</v>
      </c>
    </row>
    <row r="111" customFormat="false" ht="15" hidden="false" customHeight="false" outlineLevel="0" collapsed="false">
      <c r="A111" s="4" t="s">
        <v>954</v>
      </c>
      <c r="B111" s="10" t="s">
        <v>955</v>
      </c>
      <c r="C111" s="10" t="n">
        <v>2025</v>
      </c>
      <c r="D111" s="10" t="s">
        <v>956</v>
      </c>
      <c r="E111" s="10" t="s">
        <v>957</v>
      </c>
      <c r="F111" s="10" t="s">
        <v>60</v>
      </c>
      <c r="G111" s="10" t="s">
        <v>958</v>
      </c>
      <c r="H111" s="10" t="s">
        <v>61</v>
      </c>
      <c r="I111" s="10" t="s">
        <v>66</v>
      </c>
      <c r="J111" s="10" t="s">
        <v>66</v>
      </c>
      <c r="K111" s="10" t="s">
        <v>66</v>
      </c>
      <c r="L111" s="10" t="s">
        <v>66</v>
      </c>
      <c r="M111" s="10" t="s">
        <v>66</v>
      </c>
      <c r="N111" s="10" t="s">
        <v>16</v>
      </c>
      <c r="O111" s="10"/>
      <c r="P111" s="10"/>
      <c r="Q111" s="10" t="s">
        <v>959</v>
      </c>
      <c r="R111" s="10" t="s">
        <v>61</v>
      </c>
      <c r="S111" s="10" t="s">
        <v>960</v>
      </c>
      <c r="T111" s="10" t="n">
        <v>1</v>
      </c>
      <c r="U111" s="10" t="s">
        <v>66</v>
      </c>
      <c r="V111" s="10" t="s">
        <v>66</v>
      </c>
      <c r="W111" s="10" t="s">
        <v>201</v>
      </c>
      <c r="X111" s="10"/>
      <c r="Y111" s="10" t="n">
        <v>5</v>
      </c>
      <c r="Z111" s="11" t="str">
        <f aca="false">IF(AND(ISNUMBER(X111),ISNUMBER(Y111),X111&gt;0),1-Y111/X111,"")</f>
        <v/>
      </c>
      <c r="AA111" s="10" t="s">
        <v>202</v>
      </c>
      <c r="AB111" s="10" t="s">
        <v>193</v>
      </c>
      <c r="AC111" s="10" t="s">
        <v>66</v>
      </c>
      <c r="AD111" s="10" t="s">
        <v>61</v>
      </c>
      <c r="AE111" s="10" t="n">
        <v>98.5</v>
      </c>
      <c r="AF111" s="12" t="str">
        <f aca="false">IF(ISNUMBER(AE111),IF(AE111&gt;99,"Y","N"),"")</f>
        <v>N</v>
      </c>
      <c r="AG111" s="10" t="s">
        <v>66</v>
      </c>
      <c r="AH111" s="10" t="s">
        <v>61</v>
      </c>
      <c r="AI111" s="10" t="s">
        <v>66</v>
      </c>
      <c r="AJ111" s="10" t="s">
        <v>61</v>
      </c>
      <c r="AK111" s="10" t="s">
        <v>61</v>
      </c>
      <c r="AL111" s="10" t="s">
        <v>61</v>
      </c>
      <c r="AM111" s="10" t="s">
        <v>66</v>
      </c>
      <c r="AN111" s="10" t="s">
        <v>66</v>
      </c>
      <c r="AO111" s="10" t="s">
        <v>66</v>
      </c>
      <c r="AP111" s="10" t="s">
        <v>66</v>
      </c>
      <c r="AQ111" s="10" t="s">
        <v>66</v>
      </c>
      <c r="AR111" s="10" t="s">
        <v>66</v>
      </c>
      <c r="AS111" s="10" t="s">
        <v>66</v>
      </c>
      <c r="AT111" s="10"/>
      <c r="AU111" s="10" t="s">
        <v>961</v>
      </c>
    </row>
    <row r="112" customFormat="false" ht="15" hidden="false" customHeight="false" outlineLevel="0" collapsed="false">
      <c r="A112" s="4" t="s">
        <v>962</v>
      </c>
      <c r="B112" s="10" t="s">
        <v>963</v>
      </c>
      <c r="C112" s="10" t="n">
        <v>2025</v>
      </c>
      <c r="D112" s="10" t="s">
        <v>964</v>
      </c>
      <c r="E112" s="10" t="s">
        <v>478</v>
      </c>
      <c r="F112" s="10" t="s">
        <v>60</v>
      </c>
      <c r="G112" s="10" t="s">
        <v>965</v>
      </c>
      <c r="H112" s="10" t="s">
        <v>66</v>
      </c>
      <c r="I112" s="10" t="s">
        <v>66</v>
      </c>
      <c r="J112" s="10" t="s">
        <v>61</v>
      </c>
      <c r="K112" s="10" t="s">
        <v>66</v>
      </c>
      <c r="L112" s="10" t="s">
        <v>66</v>
      </c>
      <c r="M112" s="10" t="s">
        <v>61</v>
      </c>
      <c r="N112" s="10" t="s">
        <v>208</v>
      </c>
      <c r="O112" s="10"/>
      <c r="P112" s="10"/>
      <c r="Q112" s="10" t="s">
        <v>966</v>
      </c>
      <c r="R112" s="10" t="s">
        <v>61</v>
      </c>
      <c r="S112" s="10" t="s">
        <v>533</v>
      </c>
      <c r="T112" s="10" t="n">
        <v>2</v>
      </c>
      <c r="U112" s="10" t="s">
        <v>61</v>
      </c>
      <c r="V112" s="10" t="s">
        <v>66</v>
      </c>
      <c r="W112" s="10" t="s">
        <v>65</v>
      </c>
      <c r="X112" s="10"/>
      <c r="Y112" s="10"/>
      <c r="Z112" s="11" t="str">
        <f aca="false">IF(AND(ISNUMBER(X112),ISNUMBER(Y112),X112&gt;0),1-Y112/X112,"")</f>
        <v/>
      </c>
      <c r="AA112" s="10" t="s">
        <v>356</v>
      </c>
      <c r="AB112" s="10" t="s">
        <v>193</v>
      </c>
      <c r="AC112" s="10" t="s">
        <v>66</v>
      </c>
      <c r="AD112" s="10" t="s">
        <v>66</v>
      </c>
      <c r="AE112" s="10" t="n">
        <v>99.44</v>
      </c>
      <c r="AF112" s="12" t="str">
        <f aca="false">IF(ISNUMBER(AE112),IF(AE112&gt;99,"Y","N"),"")</f>
        <v>Y</v>
      </c>
      <c r="AG112" s="10" t="s">
        <v>66</v>
      </c>
      <c r="AH112" s="10" t="s">
        <v>66</v>
      </c>
      <c r="AI112" s="10" t="s">
        <v>66</v>
      </c>
      <c r="AJ112" s="10" t="s">
        <v>61</v>
      </c>
      <c r="AK112" s="10" t="s">
        <v>66</v>
      </c>
      <c r="AL112" s="10" t="s">
        <v>61</v>
      </c>
      <c r="AM112" s="10" t="s">
        <v>66</v>
      </c>
      <c r="AN112" s="10" t="s">
        <v>66</v>
      </c>
      <c r="AO112" s="10" t="s">
        <v>66</v>
      </c>
      <c r="AP112" s="10" t="s">
        <v>66</v>
      </c>
      <c r="AQ112" s="10" t="s">
        <v>66</v>
      </c>
      <c r="AR112" s="10" t="s">
        <v>66</v>
      </c>
      <c r="AS112" s="10" t="s">
        <v>66</v>
      </c>
      <c r="AT112" s="10"/>
      <c r="AU112" s="10" t="s">
        <v>967</v>
      </c>
    </row>
    <row r="113" customFormat="false" ht="15" hidden="false" customHeight="false" outlineLevel="0" collapsed="false">
      <c r="A113" s="4" t="s">
        <v>968</v>
      </c>
      <c r="B113" s="10" t="s">
        <v>969</v>
      </c>
      <c r="C113" s="10" t="n">
        <v>2025</v>
      </c>
      <c r="D113" s="10" t="s">
        <v>970</v>
      </c>
      <c r="E113" s="10" t="s">
        <v>971</v>
      </c>
      <c r="F113" s="10" t="s">
        <v>60</v>
      </c>
      <c r="G113" s="10" t="s">
        <v>972</v>
      </c>
      <c r="H113" s="10" t="s">
        <v>66</v>
      </c>
      <c r="I113" s="10" t="s">
        <v>66</v>
      </c>
      <c r="J113" s="10" t="s">
        <v>61</v>
      </c>
      <c r="K113" s="10" t="s">
        <v>66</v>
      </c>
      <c r="L113" s="10" t="s">
        <v>66</v>
      </c>
      <c r="M113" s="10" t="s">
        <v>66</v>
      </c>
      <c r="N113" s="10" t="s">
        <v>208</v>
      </c>
      <c r="O113" s="10"/>
      <c r="P113" s="10"/>
      <c r="Q113" s="10" t="s">
        <v>973</v>
      </c>
      <c r="R113" s="10" t="s">
        <v>61</v>
      </c>
      <c r="S113" s="10" t="s">
        <v>326</v>
      </c>
      <c r="T113" s="10" t="n">
        <v>1</v>
      </c>
      <c r="U113" s="10" t="s">
        <v>61</v>
      </c>
      <c r="V113" s="10" t="s">
        <v>66</v>
      </c>
      <c r="W113" s="10"/>
      <c r="X113" s="10"/>
      <c r="Y113" s="10"/>
      <c r="Z113" s="11" t="str">
        <f aca="false">IF(AND(ISNUMBER(X113),ISNUMBER(Y113),X113&gt;0),1-Y113/X113,"")</f>
        <v/>
      </c>
      <c r="AA113" s="10" t="s">
        <v>202</v>
      </c>
      <c r="AB113" s="10" t="s">
        <v>193</v>
      </c>
      <c r="AC113" s="10" t="s">
        <v>61</v>
      </c>
      <c r="AD113" s="10" t="s">
        <v>61</v>
      </c>
      <c r="AE113" s="10" t="n">
        <v>99.45</v>
      </c>
      <c r="AF113" s="12" t="str">
        <f aca="false">IF(ISNUMBER(AE113),IF(AE113&gt;99,"Y","N"),"")</f>
        <v>Y</v>
      </c>
      <c r="AG113" s="10" t="s">
        <v>61</v>
      </c>
      <c r="AH113" s="10" t="s">
        <v>61</v>
      </c>
      <c r="AI113" s="10" t="s">
        <v>66</v>
      </c>
      <c r="AJ113" s="10" t="s">
        <v>66</v>
      </c>
      <c r="AK113" s="10" t="s">
        <v>66</v>
      </c>
      <c r="AL113" s="10" t="s">
        <v>66</v>
      </c>
      <c r="AM113" s="10" t="s">
        <v>66</v>
      </c>
      <c r="AN113" s="10" t="s">
        <v>66</v>
      </c>
      <c r="AO113" s="10" t="s">
        <v>66</v>
      </c>
      <c r="AP113" s="10" t="s">
        <v>66</v>
      </c>
      <c r="AQ113" s="10" t="s">
        <v>61</v>
      </c>
      <c r="AR113" s="10" t="s">
        <v>66</v>
      </c>
      <c r="AS113" s="10" t="s">
        <v>66</v>
      </c>
      <c r="AT113" s="10"/>
      <c r="AU113" s="10" t="s">
        <v>974</v>
      </c>
    </row>
    <row r="114" customFormat="false" ht="15" hidden="false" customHeight="false" outlineLevel="0" collapsed="false">
      <c r="A114" s="4" t="s">
        <v>975</v>
      </c>
      <c r="B114" s="10" t="s">
        <v>976</v>
      </c>
      <c r="C114" s="10" t="n">
        <v>2025</v>
      </c>
      <c r="D114" s="10" t="s">
        <v>977</v>
      </c>
      <c r="E114" s="10" t="s">
        <v>978</v>
      </c>
      <c r="F114" s="10" t="s">
        <v>60</v>
      </c>
      <c r="G114" s="10" t="s">
        <v>979</v>
      </c>
      <c r="H114" s="10" t="s">
        <v>61</v>
      </c>
      <c r="I114" s="10" t="s">
        <v>61</v>
      </c>
      <c r="J114" s="10" t="s">
        <v>66</v>
      </c>
      <c r="K114" s="10" t="s">
        <v>61</v>
      </c>
      <c r="L114" s="10" t="s">
        <v>66</v>
      </c>
      <c r="M114" s="10" t="s">
        <v>61</v>
      </c>
      <c r="N114" s="10" t="s">
        <v>488</v>
      </c>
      <c r="O114" s="10"/>
      <c r="P114" s="10"/>
      <c r="Q114" s="10" t="s">
        <v>980</v>
      </c>
      <c r="R114" s="10" t="s">
        <v>61</v>
      </c>
      <c r="S114" s="10" t="s">
        <v>690</v>
      </c>
      <c r="T114" s="10" t="n">
        <v>1</v>
      </c>
      <c r="U114" s="10" t="s">
        <v>66</v>
      </c>
      <c r="V114" s="10" t="s">
        <v>66</v>
      </c>
      <c r="W114" s="10" t="s">
        <v>65</v>
      </c>
      <c r="X114" s="10" t="n">
        <v>157</v>
      </c>
      <c r="Y114" s="10" t="n">
        <v>103</v>
      </c>
      <c r="Z114" s="11" t="n">
        <f aca="false">IF(AND(ISNUMBER(X114),ISNUMBER(Y114),X114&gt;0),1-Y114/X114,"")</f>
        <v>0.343949044585987</v>
      </c>
      <c r="AA114" s="10" t="s">
        <v>202</v>
      </c>
      <c r="AB114" s="10" t="s">
        <v>193</v>
      </c>
      <c r="AC114" s="10" t="s">
        <v>61</v>
      </c>
      <c r="AD114" s="10" t="s">
        <v>61</v>
      </c>
      <c r="AE114" s="10" t="n">
        <v>99.72</v>
      </c>
      <c r="AF114" s="12" t="str">
        <f aca="false">IF(ISNUMBER(AE114),IF(AE114&gt;99,"Y","N"),"")</f>
        <v>Y</v>
      </c>
      <c r="AG114" s="10" t="s">
        <v>61</v>
      </c>
      <c r="AH114" s="10" t="s">
        <v>61</v>
      </c>
      <c r="AI114" s="10" t="s">
        <v>61</v>
      </c>
      <c r="AJ114" s="10" t="s">
        <v>61</v>
      </c>
      <c r="AK114" s="10" t="s">
        <v>61</v>
      </c>
      <c r="AL114" s="10" t="s">
        <v>66</v>
      </c>
      <c r="AM114" s="10" t="s">
        <v>66</v>
      </c>
      <c r="AN114" s="10" t="s">
        <v>66</v>
      </c>
      <c r="AO114" s="10" t="s">
        <v>61</v>
      </c>
      <c r="AP114" s="10" t="s">
        <v>66</v>
      </c>
      <c r="AQ114" s="10" t="s">
        <v>61</v>
      </c>
      <c r="AR114" s="10" t="s">
        <v>66</v>
      </c>
      <c r="AS114" s="10" t="s">
        <v>66</v>
      </c>
      <c r="AT114" s="10"/>
      <c r="AU114" s="10" t="s">
        <v>981</v>
      </c>
    </row>
    <row r="115" customFormat="false" ht="15" hidden="false" customHeight="false" outlineLevel="0" collapsed="false">
      <c r="A115" s="4" t="s">
        <v>982</v>
      </c>
      <c r="B115" s="10" t="s">
        <v>983</v>
      </c>
      <c r="C115" s="10" t="n">
        <v>2025</v>
      </c>
      <c r="D115" s="10" t="s">
        <v>984</v>
      </c>
      <c r="E115" s="10" t="s">
        <v>687</v>
      </c>
      <c r="F115" s="10" t="s">
        <v>60</v>
      </c>
      <c r="G115" s="10" t="s">
        <v>985</v>
      </c>
      <c r="H115" s="10" t="s">
        <v>61</v>
      </c>
      <c r="I115" s="10" t="s">
        <v>66</v>
      </c>
      <c r="J115" s="10" t="s">
        <v>61</v>
      </c>
      <c r="K115" s="10" t="s">
        <v>66</v>
      </c>
      <c r="L115" s="10" t="s">
        <v>66</v>
      </c>
      <c r="M115" s="10" t="s">
        <v>61</v>
      </c>
      <c r="N115" s="10" t="s">
        <v>208</v>
      </c>
      <c r="O115" s="10"/>
      <c r="P115" s="10"/>
      <c r="Q115" s="10" t="s">
        <v>986</v>
      </c>
      <c r="R115" s="10" t="s">
        <v>61</v>
      </c>
      <c r="S115" s="10" t="s">
        <v>987</v>
      </c>
      <c r="T115" s="10" t="n">
        <v>1</v>
      </c>
      <c r="U115" s="10" t="s">
        <v>66</v>
      </c>
      <c r="V115" s="10" t="s">
        <v>66</v>
      </c>
      <c r="W115" s="10" t="s">
        <v>65</v>
      </c>
      <c r="X115" s="10"/>
      <c r="Y115" s="10" t="n">
        <v>20</v>
      </c>
      <c r="Z115" s="11" t="str">
        <f aca="false">IF(AND(ISNUMBER(X115),ISNUMBER(Y115),X115&gt;0),1-Y115/X115,"")</f>
        <v/>
      </c>
      <c r="AA115" s="10" t="s">
        <v>202</v>
      </c>
      <c r="AB115" s="10" t="s">
        <v>193</v>
      </c>
      <c r="AC115" s="10" t="s">
        <v>66</v>
      </c>
      <c r="AD115" s="10" t="s">
        <v>61</v>
      </c>
      <c r="AE115" s="10" t="n">
        <v>96.5</v>
      </c>
      <c r="AF115" s="12" t="str">
        <f aca="false">IF(ISNUMBER(AE115),IF(AE115&gt;99,"Y","N"),"")</f>
        <v>N</v>
      </c>
      <c r="AG115" s="10" t="s">
        <v>66</v>
      </c>
      <c r="AH115" s="10" t="s">
        <v>61</v>
      </c>
      <c r="AI115" s="10" t="s">
        <v>66</v>
      </c>
      <c r="AJ115" s="10" t="s">
        <v>61</v>
      </c>
      <c r="AK115" s="10" t="s">
        <v>61</v>
      </c>
      <c r="AL115" s="10" t="s">
        <v>66</v>
      </c>
      <c r="AM115" s="10" t="s">
        <v>66</v>
      </c>
      <c r="AN115" s="10" t="s">
        <v>66</v>
      </c>
      <c r="AO115" s="10" t="s">
        <v>66</v>
      </c>
      <c r="AP115" s="10" t="s">
        <v>66</v>
      </c>
      <c r="AQ115" s="10" t="s">
        <v>61</v>
      </c>
      <c r="AR115" s="10" t="s">
        <v>66</v>
      </c>
      <c r="AS115" s="10" t="s">
        <v>66</v>
      </c>
      <c r="AT115" s="10"/>
      <c r="AU115" s="10" t="s">
        <v>988</v>
      </c>
    </row>
    <row r="116" customFormat="false" ht="15" hidden="false" customHeight="false" outlineLevel="0" collapsed="false">
      <c r="A116" s="4" t="s">
        <v>989</v>
      </c>
      <c r="B116" s="10" t="s">
        <v>990</v>
      </c>
      <c r="C116" s="10" t="n">
        <v>2025</v>
      </c>
      <c r="D116" s="10" t="s">
        <v>991</v>
      </c>
      <c r="E116" s="10" t="s">
        <v>992</v>
      </c>
      <c r="F116" s="10" t="s">
        <v>60</v>
      </c>
      <c r="G116" s="10" t="s">
        <v>993</v>
      </c>
      <c r="H116" s="10" t="s">
        <v>61</v>
      </c>
      <c r="I116" s="10" t="s">
        <v>66</v>
      </c>
      <c r="J116" s="10" t="s">
        <v>66</v>
      </c>
      <c r="K116" s="10" t="s">
        <v>66</v>
      </c>
      <c r="L116" s="10" t="s">
        <v>66</v>
      </c>
      <c r="M116" s="10" t="s">
        <v>66</v>
      </c>
      <c r="N116" s="10" t="s">
        <v>16</v>
      </c>
      <c r="O116" s="10"/>
      <c r="P116" s="10"/>
      <c r="Q116" s="10" t="s">
        <v>994</v>
      </c>
      <c r="R116" s="10" t="s">
        <v>66</v>
      </c>
      <c r="S116" s="10" t="s">
        <v>756</v>
      </c>
      <c r="T116" s="10" t="n">
        <v>1</v>
      </c>
      <c r="U116" s="10" t="s">
        <v>66</v>
      </c>
      <c r="V116" s="10" t="s">
        <v>66</v>
      </c>
      <c r="W116" s="10" t="s">
        <v>241</v>
      </c>
      <c r="X116" s="10" t="n">
        <v>7</v>
      </c>
      <c r="Y116" s="10" t="n">
        <v>5</v>
      </c>
      <c r="Z116" s="11" t="n">
        <f aca="false">IF(AND(ISNUMBER(X116),ISNUMBER(Y116),X116&gt;0),1-Y116/X116,"")</f>
        <v>0.285714285714286</v>
      </c>
      <c r="AA116" s="10" t="s">
        <v>202</v>
      </c>
      <c r="AB116" s="10" t="s">
        <v>193</v>
      </c>
      <c r="AC116" s="10" t="s">
        <v>66</v>
      </c>
      <c r="AD116" s="10" t="s">
        <v>61</v>
      </c>
      <c r="AE116" s="10" t="n">
        <v>97.93</v>
      </c>
      <c r="AF116" s="12" t="str">
        <f aca="false">IF(ISNUMBER(AE116),IF(AE116&gt;99,"Y","N"),"")</f>
        <v>N</v>
      </c>
      <c r="AG116" s="10" t="s">
        <v>66</v>
      </c>
      <c r="AH116" s="10" t="s">
        <v>66</v>
      </c>
      <c r="AI116" s="10" t="s">
        <v>66</v>
      </c>
      <c r="AJ116" s="10" t="s">
        <v>66</v>
      </c>
      <c r="AK116" s="10" t="s">
        <v>66</v>
      </c>
      <c r="AL116" s="10" t="s">
        <v>66</v>
      </c>
      <c r="AM116" s="10" t="s">
        <v>66</v>
      </c>
      <c r="AN116" s="10" t="s">
        <v>66</v>
      </c>
      <c r="AO116" s="10" t="s">
        <v>66</v>
      </c>
      <c r="AP116" s="10" t="s">
        <v>66</v>
      </c>
      <c r="AQ116" s="10" t="s">
        <v>66</v>
      </c>
      <c r="AR116" s="10" t="s">
        <v>66</v>
      </c>
      <c r="AS116" s="10" t="s">
        <v>66</v>
      </c>
      <c r="AT116" s="10"/>
      <c r="AU116" s="10" t="s">
        <v>995</v>
      </c>
    </row>
    <row r="117" customFormat="false" ht="15" hidden="false" customHeight="false" outlineLevel="0" collapsed="false">
      <c r="A117" s="4" t="s">
        <v>996</v>
      </c>
      <c r="B117" s="10" t="s">
        <v>997</v>
      </c>
      <c r="C117" s="10" t="n">
        <v>2025</v>
      </c>
      <c r="D117" s="10" t="s">
        <v>998</v>
      </c>
      <c r="E117" s="10" t="s">
        <v>999</v>
      </c>
      <c r="F117" s="10" t="s">
        <v>60</v>
      </c>
      <c r="G117" s="10" t="s">
        <v>1000</v>
      </c>
      <c r="H117" s="10" t="s">
        <v>61</v>
      </c>
      <c r="I117" s="10" t="s">
        <v>66</v>
      </c>
      <c r="J117" s="10" t="s">
        <v>66</v>
      </c>
      <c r="K117" s="10" t="s">
        <v>61</v>
      </c>
      <c r="L117" s="10" t="s">
        <v>66</v>
      </c>
      <c r="M117" s="10" t="s">
        <v>61</v>
      </c>
      <c r="N117" s="10" t="s">
        <v>890</v>
      </c>
      <c r="O117" s="10"/>
      <c r="P117" s="10"/>
      <c r="Q117" s="10" t="s">
        <v>414</v>
      </c>
      <c r="R117" s="10" t="s">
        <v>66</v>
      </c>
      <c r="S117" s="10" t="s">
        <v>1001</v>
      </c>
      <c r="T117" s="10" t="n">
        <v>1</v>
      </c>
      <c r="U117" s="10" t="s">
        <v>66</v>
      </c>
      <c r="V117" s="10" t="s">
        <v>66</v>
      </c>
      <c r="W117" s="10"/>
      <c r="X117" s="10"/>
      <c r="Y117" s="10"/>
      <c r="Z117" s="11" t="str">
        <f aca="false">IF(AND(ISNUMBER(X117),ISNUMBER(Y117),X117&gt;0),1-Y117/X117,"")</f>
        <v/>
      </c>
      <c r="AA117" s="10" t="s">
        <v>192</v>
      </c>
      <c r="AB117" s="10" t="s">
        <v>193</v>
      </c>
      <c r="AC117" s="10" t="s">
        <v>66</v>
      </c>
      <c r="AD117" s="10" t="s">
        <v>66</v>
      </c>
      <c r="AE117" s="10" t="n">
        <v>87.6</v>
      </c>
      <c r="AF117" s="12" t="str">
        <f aca="false">IF(ISNUMBER(AE117),IF(AE117&gt;99,"Y","N"),"")</f>
        <v>N</v>
      </c>
      <c r="AG117" s="10" t="s">
        <v>66</v>
      </c>
      <c r="AH117" s="10" t="s">
        <v>66</v>
      </c>
      <c r="AI117" s="10" t="s">
        <v>61</v>
      </c>
      <c r="AJ117" s="10" t="s">
        <v>61</v>
      </c>
      <c r="AK117" s="10" t="s">
        <v>61</v>
      </c>
      <c r="AL117" s="10" t="s">
        <v>61</v>
      </c>
      <c r="AM117" s="10" t="s">
        <v>66</v>
      </c>
      <c r="AN117" s="10" t="s">
        <v>66</v>
      </c>
      <c r="AO117" s="10" t="s">
        <v>66</v>
      </c>
      <c r="AP117" s="10" t="s">
        <v>66</v>
      </c>
      <c r="AQ117" s="10" t="s">
        <v>66</v>
      </c>
      <c r="AR117" s="10" t="s">
        <v>66</v>
      </c>
      <c r="AS117" s="10" t="s">
        <v>66</v>
      </c>
      <c r="AT117" s="10"/>
      <c r="AU117" s="10" t="s">
        <v>1002</v>
      </c>
    </row>
    <row r="118" customFormat="false" ht="15" hidden="false" customHeight="false" outlineLevel="0" collapsed="false">
      <c r="A118" s="4" t="s">
        <v>1003</v>
      </c>
      <c r="B118" s="10" t="s">
        <v>1004</v>
      </c>
      <c r="C118" s="10" t="n">
        <v>2025</v>
      </c>
      <c r="D118" s="10" t="s">
        <v>1005</v>
      </c>
      <c r="E118" s="10" t="s">
        <v>530</v>
      </c>
      <c r="F118" s="10" t="s">
        <v>60</v>
      </c>
      <c r="G118" s="10" t="s">
        <v>1006</v>
      </c>
      <c r="H118" s="10" t="s">
        <v>61</v>
      </c>
      <c r="I118" s="10" t="s">
        <v>66</v>
      </c>
      <c r="J118" s="10" t="s">
        <v>61</v>
      </c>
      <c r="K118" s="10" t="s">
        <v>66</v>
      </c>
      <c r="L118" s="10" t="s">
        <v>66</v>
      </c>
      <c r="M118" s="10" t="s">
        <v>66</v>
      </c>
      <c r="N118" s="10" t="s">
        <v>208</v>
      </c>
      <c r="O118" s="10"/>
      <c r="P118" s="10"/>
      <c r="Q118" s="10" t="s">
        <v>1007</v>
      </c>
      <c r="R118" s="10" t="s">
        <v>61</v>
      </c>
      <c r="S118" s="10" t="s">
        <v>790</v>
      </c>
      <c r="T118" s="10" t="n">
        <v>2</v>
      </c>
      <c r="U118" s="10" t="s">
        <v>66</v>
      </c>
      <c r="V118" s="10" t="s">
        <v>66</v>
      </c>
      <c r="W118" s="10"/>
      <c r="X118" s="10"/>
      <c r="Y118" s="10"/>
      <c r="Z118" s="11" t="str">
        <f aca="false">IF(AND(ISNUMBER(X118),ISNUMBER(Y118),X118&gt;0),1-Y118/X118,"")</f>
        <v/>
      </c>
      <c r="AA118" s="10" t="s">
        <v>202</v>
      </c>
      <c r="AB118" s="10" t="s">
        <v>193</v>
      </c>
      <c r="AC118" s="10" t="s">
        <v>66</v>
      </c>
      <c r="AD118" s="10" t="s">
        <v>66</v>
      </c>
      <c r="AE118" s="10" t="n">
        <v>99.94</v>
      </c>
      <c r="AF118" s="12" t="str">
        <f aca="false">IF(ISNUMBER(AE118),IF(AE118&gt;99,"Y","N"),"")</f>
        <v>Y</v>
      </c>
      <c r="AG118" s="10" t="s">
        <v>61</v>
      </c>
      <c r="AH118" s="10" t="s">
        <v>66</v>
      </c>
      <c r="AI118" s="10" t="s">
        <v>66</v>
      </c>
      <c r="AJ118" s="10" t="s">
        <v>66</v>
      </c>
      <c r="AK118" s="10" t="s">
        <v>66</v>
      </c>
      <c r="AL118" s="10" t="s">
        <v>66</v>
      </c>
      <c r="AM118" s="10" t="s">
        <v>66</v>
      </c>
      <c r="AN118" s="10" t="s">
        <v>66</v>
      </c>
      <c r="AO118" s="10" t="s">
        <v>66</v>
      </c>
      <c r="AP118" s="10" t="s">
        <v>66</v>
      </c>
      <c r="AQ118" s="10" t="s">
        <v>66</v>
      </c>
      <c r="AR118" s="10" t="s">
        <v>66</v>
      </c>
      <c r="AS118" s="10" t="s">
        <v>66</v>
      </c>
      <c r="AT118" s="10"/>
      <c r="AU118" s="10" t="s">
        <v>1008</v>
      </c>
    </row>
    <row r="119" customFormat="false" ht="15" hidden="false" customHeight="false" outlineLevel="0" collapsed="false">
      <c r="A119" s="4" t="s">
        <v>1009</v>
      </c>
      <c r="B119" s="10" t="s">
        <v>1010</v>
      </c>
      <c r="C119" s="10" t="n">
        <v>2025</v>
      </c>
      <c r="D119" s="10" t="s">
        <v>1011</v>
      </c>
      <c r="E119" s="10" t="s">
        <v>478</v>
      </c>
      <c r="F119" s="10" t="s">
        <v>60</v>
      </c>
      <c r="G119" s="10" t="s">
        <v>1012</v>
      </c>
      <c r="H119" s="10" t="s">
        <v>61</v>
      </c>
      <c r="I119" s="10" t="s">
        <v>61</v>
      </c>
      <c r="J119" s="10" t="s">
        <v>61</v>
      </c>
      <c r="K119" s="10" t="s">
        <v>61</v>
      </c>
      <c r="L119" s="10" t="s">
        <v>61</v>
      </c>
      <c r="M119" s="10" t="s">
        <v>61</v>
      </c>
      <c r="N119" s="10" t="s">
        <v>488</v>
      </c>
      <c r="O119" s="10"/>
      <c r="P119" s="10"/>
      <c r="Q119" s="10" t="s">
        <v>1013</v>
      </c>
      <c r="R119" s="10" t="s">
        <v>61</v>
      </c>
      <c r="S119" s="10" t="s">
        <v>1014</v>
      </c>
      <c r="T119" s="10" t="n">
        <v>2</v>
      </c>
      <c r="U119" s="10" t="s">
        <v>66</v>
      </c>
      <c r="V119" s="10" t="s">
        <v>61</v>
      </c>
      <c r="W119" s="10" t="s">
        <v>65</v>
      </c>
      <c r="X119" s="10"/>
      <c r="Y119" s="10"/>
      <c r="Z119" s="11" t="str">
        <f aca="false">IF(AND(ISNUMBER(X119),ISNUMBER(Y119),X119&gt;0),1-Y119/X119,"")</f>
        <v/>
      </c>
      <c r="AA119" s="10" t="s">
        <v>356</v>
      </c>
      <c r="AB119" s="10" t="s">
        <v>193</v>
      </c>
      <c r="AC119" s="10" t="s">
        <v>66</v>
      </c>
      <c r="AD119" s="10" t="s">
        <v>66</v>
      </c>
      <c r="AE119" s="10" t="n">
        <v>99.35</v>
      </c>
      <c r="AF119" s="12" t="str">
        <f aca="false">IF(ISNUMBER(AE119),IF(AE119&gt;99,"Y","N"),"")</f>
        <v>Y</v>
      </c>
      <c r="AG119" s="10" t="s">
        <v>66</v>
      </c>
      <c r="AH119" s="10" t="s">
        <v>61</v>
      </c>
      <c r="AI119" s="10" t="s">
        <v>66</v>
      </c>
      <c r="AJ119" s="10" t="s">
        <v>61</v>
      </c>
      <c r="AK119" s="10" t="s">
        <v>61</v>
      </c>
      <c r="AL119" s="10" t="s">
        <v>61</v>
      </c>
      <c r="AM119" s="10" t="s">
        <v>66</v>
      </c>
      <c r="AN119" s="10" t="s">
        <v>66</v>
      </c>
      <c r="AO119" s="10" t="s">
        <v>66</v>
      </c>
      <c r="AP119" s="10" t="s">
        <v>66</v>
      </c>
      <c r="AQ119" s="10" t="s">
        <v>61</v>
      </c>
      <c r="AR119" s="10" t="s">
        <v>66</v>
      </c>
      <c r="AS119" s="10" t="s">
        <v>66</v>
      </c>
      <c r="AT119" s="10"/>
      <c r="AU119" s="10" t="s">
        <v>1015</v>
      </c>
    </row>
    <row r="120" customFormat="false" ht="15" hidden="false" customHeight="false" outlineLevel="0" collapsed="false">
      <c r="A120" s="4" t="s">
        <v>1016</v>
      </c>
      <c r="B120" s="10" t="s">
        <v>1017</v>
      </c>
      <c r="C120" s="10" t="n">
        <v>2025</v>
      </c>
      <c r="D120" s="10" t="s">
        <v>1018</v>
      </c>
      <c r="E120" s="10" t="s">
        <v>1019</v>
      </c>
      <c r="F120" s="10" t="s">
        <v>60</v>
      </c>
      <c r="G120" s="10" t="s">
        <v>1020</v>
      </c>
      <c r="H120" s="10" t="s">
        <v>66</v>
      </c>
      <c r="I120" s="10" t="s">
        <v>66</v>
      </c>
      <c r="J120" s="10" t="s">
        <v>61</v>
      </c>
      <c r="K120" s="10" t="s">
        <v>66</v>
      </c>
      <c r="L120" s="10" t="s">
        <v>66</v>
      </c>
      <c r="M120" s="10" t="s">
        <v>61</v>
      </c>
      <c r="N120" s="10" t="s">
        <v>208</v>
      </c>
      <c r="O120" s="10"/>
      <c r="P120" s="10"/>
      <c r="Q120" s="10" t="s">
        <v>414</v>
      </c>
      <c r="R120" s="10" t="s">
        <v>66</v>
      </c>
      <c r="S120" s="10" t="s">
        <v>249</v>
      </c>
      <c r="T120" s="10" t="n">
        <v>1</v>
      </c>
      <c r="U120" s="10" t="s">
        <v>61</v>
      </c>
      <c r="V120" s="10" t="s">
        <v>66</v>
      </c>
      <c r="W120" s="10"/>
      <c r="X120" s="10"/>
      <c r="Y120" s="10"/>
      <c r="Z120" s="11" t="str">
        <f aca="false">IF(AND(ISNUMBER(X120),ISNUMBER(Y120),X120&gt;0),1-Y120/X120,"")</f>
        <v/>
      </c>
      <c r="AA120" s="10" t="s">
        <v>192</v>
      </c>
      <c r="AB120" s="10" t="s">
        <v>193</v>
      </c>
      <c r="AC120" s="10" t="s">
        <v>66</v>
      </c>
      <c r="AD120" s="10" t="s">
        <v>66</v>
      </c>
      <c r="AE120" s="10" t="n">
        <v>99.65</v>
      </c>
      <c r="AF120" s="12" t="str">
        <f aca="false">IF(ISNUMBER(AE120),IF(AE120&gt;99,"Y","N"),"")</f>
        <v>Y</v>
      </c>
      <c r="AG120" s="10" t="s">
        <v>66</v>
      </c>
      <c r="AH120" s="10" t="s">
        <v>66</v>
      </c>
      <c r="AI120" s="10" t="s">
        <v>66</v>
      </c>
      <c r="AJ120" s="10" t="s">
        <v>61</v>
      </c>
      <c r="AK120" s="10" t="s">
        <v>66</v>
      </c>
      <c r="AL120" s="10" t="s">
        <v>66</v>
      </c>
      <c r="AM120" s="10" t="s">
        <v>66</v>
      </c>
      <c r="AN120" s="10" t="s">
        <v>66</v>
      </c>
      <c r="AO120" s="10" t="s">
        <v>66</v>
      </c>
      <c r="AP120" s="10" t="s">
        <v>66</v>
      </c>
      <c r="AQ120" s="10" t="s">
        <v>66</v>
      </c>
      <c r="AR120" s="10" t="s">
        <v>66</v>
      </c>
      <c r="AS120" s="10" t="s">
        <v>66</v>
      </c>
      <c r="AT120" s="10"/>
      <c r="AU120" s="10" t="s">
        <v>1021</v>
      </c>
    </row>
    <row r="121" customFormat="false" ht="15" hidden="false" customHeight="false" outlineLevel="0" collapsed="false">
      <c r="A121" s="4" t="s">
        <v>1022</v>
      </c>
      <c r="B121" s="10" t="s">
        <v>1023</v>
      </c>
      <c r="C121" s="10" t="n">
        <v>2025</v>
      </c>
      <c r="D121" s="10" t="s">
        <v>1024</v>
      </c>
      <c r="E121" s="10" t="s">
        <v>478</v>
      </c>
      <c r="F121" s="10" t="s">
        <v>60</v>
      </c>
      <c r="G121" s="10" t="s">
        <v>1025</v>
      </c>
      <c r="H121" s="10" t="s">
        <v>61</v>
      </c>
      <c r="I121" s="10" t="s">
        <v>61</v>
      </c>
      <c r="J121" s="10" t="s">
        <v>61</v>
      </c>
      <c r="K121" s="10" t="s">
        <v>61</v>
      </c>
      <c r="L121" s="10" t="s">
        <v>61</v>
      </c>
      <c r="M121" s="10" t="s">
        <v>61</v>
      </c>
      <c r="N121" s="10" t="s">
        <v>208</v>
      </c>
      <c r="O121" s="10"/>
      <c r="P121" s="10"/>
      <c r="Q121" s="10" t="s">
        <v>1026</v>
      </c>
      <c r="R121" s="10" t="s">
        <v>61</v>
      </c>
      <c r="S121" s="10" t="s">
        <v>1027</v>
      </c>
      <c r="T121" s="10" t="n">
        <v>2</v>
      </c>
      <c r="U121" s="10" t="s">
        <v>66</v>
      </c>
      <c r="V121" s="10" t="s">
        <v>61</v>
      </c>
      <c r="W121" s="10" t="s">
        <v>201</v>
      </c>
      <c r="X121" s="10"/>
      <c r="Y121" s="10"/>
      <c r="Z121" s="11" t="str">
        <f aca="false">IF(AND(ISNUMBER(X121),ISNUMBER(Y121),X121&gt;0),1-Y121/X121,"")</f>
        <v/>
      </c>
      <c r="AA121" s="10" t="s">
        <v>202</v>
      </c>
      <c r="AB121" s="10" t="s">
        <v>193</v>
      </c>
      <c r="AC121" s="10" t="s">
        <v>61</v>
      </c>
      <c r="AD121" s="10" t="s">
        <v>61</v>
      </c>
      <c r="AE121" s="10" t="n">
        <v>99.88</v>
      </c>
      <c r="AF121" s="12" t="str">
        <f aca="false">IF(ISNUMBER(AE121),IF(AE121&gt;99,"Y","N"),"")</f>
        <v>Y</v>
      </c>
      <c r="AG121" s="10" t="s">
        <v>61</v>
      </c>
      <c r="AH121" s="10" t="s">
        <v>61</v>
      </c>
      <c r="AI121" s="10" t="s">
        <v>61</v>
      </c>
      <c r="AJ121" s="10" t="s">
        <v>61</v>
      </c>
      <c r="AK121" s="10" t="s">
        <v>61</v>
      </c>
      <c r="AL121" s="10" t="s">
        <v>66</v>
      </c>
      <c r="AM121" s="10" t="s">
        <v>61</v>
      </c>
      <c r="AN121" s="10" t="s">
        <v>66</v>
      </c>
      <c r="AO121" s="10" t="s">
        <v>61</v>
      </c>
      <c r="AP121" s="10" t="s">
        <v>66</v>
      </c>
      <c r="AQ121" s="10" t="s">
        <v>61</v>
      </c>
      <c r="AR121" s="10" t="s">
        <v>66</v>
      </c>
      <c r="AS121" s="10" t="s">
        <v>66</v>
      </c>
      <c r="AT121" s="10"/>
      <c r="AU121" s="10" t="s">
        <v>1028</v>
      </c>
    </row>
    <row r="122" customFormat="false" ht="15" hidden="false" customHeight="false" outlineLevel="0" collapsed="false">
      <c r="A122" s="4" t="s">
        <v>1029</v>
      </c>
      <c r="B122" s="10" t="s">
        <v>1030</v>
      </c>
      <c r="C122" s="10" t="n">
        <v>2025</v>
      </c>
      <c r="D122" s="10" t="s">
        <v>1031</v>
      </c>
      <c r="E122" s="10" t="s">
        <v>646</v>
      </c>
      <c r="F122" s="10" t="s">
        <v>60</v>
      </c>
      <c r="G122" s="10" t="s">
        <v>1032</v>
      </c>
      <c r="H122" s="10" t="s">
        <v>61</v>
      </c>
      <c r="I122" s="10" t="s">
        <v>66</v>
      </c>
      <c r="J122" s="10" t="s">
        <v>61</v>
      </c>
      <c r="K122" s="10" t="s">
        <v>66</v>
      </c>
      <c r="L122" s="10" t="s">
        <v>66</v>
      </c>
      <c r="M122" s="10" t="s">
        <v>61</v>
      </c>
      <c r="N122" s="10" t="s">
        <v>208</v>
      </c>
      <c r="O122" s="10"/>
      <c r="P122" s="10"/>
      <c r="Q122" s="10" t="s">
        <v>1033</v>
      </c>
      <c r="R122" s="10" t="s">
        <v>61</v>
      </c>
      <c r="S122" s="10" t="s">
        <v>210</v>
      </c>
      <c r="T122" s="10" t="n">
        <v>1</v>
      </c>
      <c r="U122" s="10" t="s">
        <v>61</v>
      </c>
      <c r="V122" s="10" t="s">
        <v>66</v>
      </c>
      <c r="W122" s="10" t="s">
        <v>241</v>
      </c>
      <c r="X122" s="10"/>
      <c r="Y122" s="10"/>
      <c r="Z122" s="11" t="str">
        <f aca="false">IF(AND(ISNUMBER(X122),ISNUMBER(Y122),X122&gt;0),1-Y122/X122,"")</f>
        <v/>
      </c>
      <c r="AA122" s="10" t="s">
        <v>192</v>
      </c>
      <c r="AB122" s="10" t="s">
        <v>193</v>
      </c>
      <c r="AC122" s="10" t="s">
        <v>66</v>
      </c>
      <c r="AD122" s="10" t="s">
        <v>66</v>
      </c>
      <c r="AE122" s="10"/>
      <c r="AF122" s="12" t="str">
        <f aca="false">IF(ISNUMBER(AE122),IF(AE122&gt;99,"Y","N"),"")</f>
        <v/>
      </c>
      <c r="AG122" s="10" t="s">
        <v>66</v>
      </c>
      <c r="AH122" s="10" t="s">
        <v>66</v>
      </c>
      <c r="AI122" s="10" t="s">
        <v>66</v>
      </c>
      <c r="AJ122" s="10" t="s">
        <v>66</v>
      </c>
      <c r="AK122" s="10" t="s">
        <v>66</v>
      </c>
      <c r="AL122" s="10" t="s">
        <v>66</v>
      </c>
      <c r="AM122" s="10" t="s">
        <v>66</v>
      </c>
      <c r="AN122" s="10" t="s">
        <v>66</v>
      </c>
      <c r="AO122" s="10" t="s">
        <v>66</v>
      </c>
      <c r="AP122" s="10" t="s">
        <v>66</v>
      </c>
      <c r="AQ122" s="10" t="s">
        <v>66</v>
      </c>
      <c r="AR122" s="10" t="s">
        <v>66</v>
      </c>
      <c r="AS122" s="10" t="s">
        <v>66</v>
      </c>
      <c r="AT122" s="10"/>
      <c r="AU122" s="10" t="s">
        <v>1034</v>
      </c>
    </row>
    <row r="123" customFormat="false" ht="15" hidden="false" customHeight="false" outlineLevel="0" collapsed="false">
      <c r="A123" s="4" t="s">
        <v>1035</v>
      </c>
      <c r="B123" s="10" t="s">
        <v>1036</v>
      </c>
      <c r="C123" s="10" t="n">
        <v>2025</v>
      </c>
      <c r="D123" s="10" t="s">
        <v>1037</v>
      </c>
      <c r="E123" s="10" t="s">
        <v>478</v>
      </c>
      <c r="F123" s="10" t="s">
        <v>60</v>
      </c>
      <c r="G123" s="10" t="s">
        <v>1038</v>
      </c>
      <c r="H123" s="10" t="s">
        <v>66</v>
      </c>
      <c r="I123" s="10" t="s">
        <v>66</v>
      </c>
      <c r="J123" s="10" t="s">
        <v>61</v>
      </c>
      <c r="K123" s="10" t="s">
        <v>66</v>
      </c>
      <c r="L123" s="10" t="s">
        <v>66</v>
      </c>
      <c r="M123" s="10" t="s">
        <v>66</v>
      </c>
      <c r="N123" s="10" t="s">
        <v>208</v>
      </c>
      <c r="O123" s="10"/>
      <c r="P123" s="10"/>
      <c r="Q123" s="10" t="s">
        <v>560</v>
      </c>
      <c r="R123" s="10" t="s">
        <v>61</v>
      </c>
      <c r="S123" s="10" t="s">
        <v>763</v>
      </c>
      <c r="T123" s="10" t="n">
        <v>3</v>
      </c>
      <c r="U123" s="10" t="s">
        <v>66</v>
      </c>
      <c r="V123" s="10" t="s">
        <v>66</v>
      </c>
      <c r="W123" s="10" t="s">
        <v>241</v>
      </c>
      <c r="X123" s="10"/>
      <c r="Y123" s="10"/>
      <c r="Z123" s="11" t="str">
        <f aca="false">IF(AND(ISNUMBER(X123),ISNUMBER(Y123),X123&gt;0),1-Y123/X123,"")</f>
        <v/>
      </c>
      <c r="AA123" s="10" t="s">
        <v>192</v>
      </c>
      <c r="AB123" s="10" t="s">
        <v>193</v>
      </c>
      <c r="AC123" s="10" t="s">
        <v>66</v>
      </c>
      <c r="AD123" s="10" t="s">
        <v>66</v>
      </c>
      <c r="AE123" s="10" t="n">
        <v>99.999</v>
      </c>
      <c r="AF123" s="12" t="str">
        <f aca="false">IF(ISNUMBER(AE123),IF(AE123&gt;99,"Y","N"),"")</f>
        <v>Y</v>
      </c>
      <c r="AG123" s="10" t="s">
        <v>66</v>
      </c>
      <c r="AH123" s="10" t="s">
        <v>61</v>
      </c>
      <c r="AI123" s="10" t="s">
        <v>61</v>
      </c>
      <c r="AJ123" s="10" t="s">
        <v>61</v>
      </c>
      <c r="AK123" s="10" t="s">
        <v>66</v>
      </c>
      <c r="AL123" s="10" t="s">
        <v>61</v>
      </c>
      <c r="AM123" s="10" t="s">
        <v>61</v>
      </c>
      <c r="AN123" s="10" t="s">
        <v>66</v>
      </c>
      <c r="AO123" s="10" t="s">
        <v>66</v>
      </c>
      <c r="AP123" s="10" t="s">
        <v>66</v>
      </c>
      <c r="AQ123" s="10" t="s">
        <v>66</v>
      </c>
      <c r="AR123" s="10" t="s">
        <v>66</v>
      </c>
      <c r="AS123" s="10" t="s">
        <v>66</v>
      </c>
      <c r="AT123" s="10"/>
      <c r="AU123" s="10" t="s">
        <v>1039</v>
      </c>
    </row>
    <row r="124" customFormat="false" ht="15" hidden="false" customHeight="false" outlineLevel="0" collapsed="false">
      <c r="A124" s="4" t="s">
        <v>1040</v>
      </c>
      <c r="B124" s="10" t="s">
        <v>1041</v>
      </c>
      <c r="C124" s="10" t="n">
        <v>2025</v>
      </c>
      <c r="D124" s="10" t="s">
        <v>1042</v>
      </c>
      <c r="E124" s="10" t="s">
        <v>1043</v>
      </c>
      <c r="F124" s="10" t="s">
        <v>60</v>
      </c>
      <c r="G124" s="10" t="s">
        <v>1044</v>
      </c>
      <c r="H124" s="10" t="s">
        <v>61</v>
      </c>
      <c r="I124" s="10" t="s">
        <v>66</v>
      </c>
      <c r="J124" s="10" t="s">
        <v>66</v>
      </c>
      <c r="K124" s="10" t="s">
        <v>66</v>
      </c>
      <c r="L124" s="10" t="s">
        <v>61</v>
      </c>
      <c r="M124" s="10" t="s">
        <v>61</v>
      </c>
      <c r="N124" s="10" t="s">
        <v>16</v>
      </c>
      <c r="O124" s="10"/>
      <c r="P124" s="10"/>
      <c r="Q124" s="10" t="s">
        <v>1045</v>
      </c>
      <c r="R124" s="10" t="s">
        <v>61</v>
      </c>
      <c r="S124" s="10" t="s">
        <v>1046</v>
      </c>
      <c r="T124" s="10" t="n">
        <v>4</v>
      </c>
      <c r="U124" s="10" t="s">
        <v>66</v>
      </c>
      <c r="V124" s="10" t="s">
        <v>66</v>
      </c>
      <c r="W124" s="10" t="s">
        <v>65</v>
      </c>
      <c r="X124" s="10"/>
      <c r="Y124" s="10" t="n">
        <v>15</v>
      </c>
      <c r="Z124" s="11" t="str">
        <f aca="false">IF(AND(ISNUMBER(X124),ISNUMBER(Y124),X124&gt;0),1-Y124/X124,"")</f>
        <v/>
      </c>
      <c r="AA124" s="10" t="s">
        <v>192</v>
      </c>
      <c r="AB124" s="10" t="s">
        <v>193</v>
      </c>
      <c r="AC124" s="10" t="s">
        <v>66</v>
      </c>
      <c r="AD124" s="10" t="s">
        <v>66</v>
      </c>
      <c r="AE124" s="10" t="n">
        <v>98.7</v>
      </c>
      <c r="AF124" s="12" t="str">
        <f aca="false">IF(ISNUMBER(AE124),IF(AE124&gt;99,"Y","N"),"")</f>
        <v>N</v>
      </c>
      <c r="AG124" s="10" t="s">
        <v>61</v>
      </c>
      <c r="AH124" s="10" t="s">
        <v>61</v>
      </c>
      <c r="AI124" s="10" t="s">
        <v>66</v>
      </c>
      <c r="AJ124" s="10" t="s">
        <v>61</v>
      </c>
      <c r="AK124" s="10" t="s">
        <v>61</v>
      </c>
      <c r="AL124" s="10" t="s">
        <v>66</v>
      </c>
      <c r="AM124" s="10" t="s">
        <v>66</v>
      </c>
      <c r="AN124" s="10" t="s">
        <v>66</v>
      </c>
      <c r="AO124" s="10" t="s">
        <v>66</v>
      </c>
      <c r="AP124" s="10" t="s">
        <v>66</v>
      </c>
      <c r="AQ124" s="10" t="s">
        <v>66</v>
      </c>
      <c r="AR124" s="10" t="s">
        <v>66</v>
      </c>
      <c r="AS124" s="10" t="s">
        <v>66</v>
      </c>
      <c r="AT124" s="10"/>
      <c r="AU124" s="10" t="s">
        <v>1047</v>
      </c>
    </row>
    <row r="125" customFormat="false" ht="15" hidden="false" customHeight="false" outlineLevel="0" collapsed="false">
      <c r="A125" s="4" t="s">
        <v>1048</v>
      </c>
      <c r="B125" s="10" t="s">
        <v>1049</v>
      </c>
      <c r="C125" s="10" t="n">
        <v>2025</v>
      </c>
      <c r="D125" s="10" t="s">
        <v>1050</v>
      </c>
      <c r="E125" s="10" t="s">
        <v>478</v>
      </c>
      <c r="F125" s="10" t="s">
        <v>60</v>
      </c>
      <c r="G125" s="10" t="s">
        <v>1051</v>
      </c>
      <c r="H125" s="10" t="s">
        <v>61</v>
      </c>
      <c r="I125" s="10" t="s">
        <v>66</v>
      </c>
      <c r="J125" s="10" t="s">
        <v>61</v>
      </c>
      <c r="K125" s="10" t="s">
        <v>66</v>
      </c>
      <c r="L125" s="10" t="s">
        <v>61</v>
      </c>
      <c r="M125" s="10" t="s">
        <v>61</v>
      </c>
      <c r="N125" s="10" t="s">
        <v>208</v>
      </c>
      <c r="O125" s="10"/>
      <c r="P125" s="10"/>
      <c r="Q125" s="10" t="s">
        <v>1052</v>
      </c>
      <c r="R125" s="10" t="s">
        <v>66</v>
      </c>
      <c r="S125" s="10" t="s">
        <v>583</v>
      </c>
      <c r="T125" s="10" t="n">
        <v>1</v>
      </c>
      <c r="U125" s="10" t="s">
        <v>66</v>
      </c>
      <c r="V125" s="10" t="s">
        <v>66</v>
      </c>
      <c r="W125" s="10" t="s">
        <v>65</v>
      </c>
      <c r="X125" s="10"/>
      <c r="Y125" s="10"/>
      <c r="Z125" s="11" t="str">
        <f aca="false">IF(AND(ISNUMBER(X125),ISNUMBER(Y125),X125&gt;0),1-Y125/X125,"")</f>
        <v/>
      </c>
      <c r="AA125" s="10" t="s">
        <v>202</v>
      </c>
      <c r="AB125" s="10" t="s">
        <v>193</v>
      </c>
      <c r="AC125" s="10" t="s">
        <v>61</v>
      </c>
      <c r="AD125" s="10" t="s">
        <v>61</v>
      </c>
      <c r="AE125" s="10" t="n">
        <v>99.96</v>
      </c>
      <c r="AF125" s="12" t="str">
        <f aca="false">IF(ISNUMBER(AE125),IF(AE125&gt;99,"Y","N"),"")</f>
        <v>Y</v>
      </c>
      <c r="AG125" s="10" t="s">
        <v>61</v>
      </c>
      <c r="AH125" s="10" t="s">
        <v>61</v>
      </c>
      <c r="AI125" s="10" t="s">
        <v>61</v>
      </c>
      <c r="AJ125" s="10" t="s">
        <v>61</v>
      </c>
      <c r="AK125" s="10" t="s">
        <v>61</v>
      </c>
      <c r="AL125" s="10" t="s">
        <v>61</v>
      </c>
      <c r="AM125" s="10" t="s">
        <v>66</v>
      </c>
      <c r="AN125" s="10" t="s">
        <v>66</v>
      </c>
      <c r="AO125" s="10" t="s">
        <v>66</v>
      </c>
      <c r="AP125" s="10" t="s">
        <v>66</v>
      </c>
      <c r="AQ125" s="10" t="s">
        <v>66</v>
      </c>
      <c r="AR125" s="10" t="s">
        <v>66</v>
      </c>
      <c r="AS125" s="10" t="s">
        <v>66</v>
      </c>
      <c r="AT125" s="10"/>
      <c r="AU125" s="10" t="s">
        <v>1053</v>
      </c>
    </row>
    <row r="126" customFormat="false" ht="15" hidden="false" customHeight="false" outlineLevel="0" collapsed="false">
      <c r="A126" s="4" t="s">
        <v>1054</v>
      </c>
      <c r="B126" s="10" t="s">
        <v>1055</v>
      </c>
      <c r="C126" s="10" t="n">
        <v>2025</v>
      </c>
      <c r="D126" s="10" t="s">
        <v>1056</v>
      </c>
      <c r="E126" s="10" t="s">
        <v>478</v>
      </c>
      <c r="F126" s="10" t="s">
        <v>60</v>
      </c>
      <c r="G126" s="10" t="s">
        <v>1057</v>
      </c>
      <c r="H126" s="10" t="s">
        <v>66</v>
      </c>
      <c r="I126" s="10" t="s">
        <v>66</v>
      </c>
      <c r="J126" s="10" t="s">
        <v>61</v>
      </c>
      <c r="K126" s="10" t="s">
        <v>66</v>
      </c>
      <c r="L126" s="10" t="s">
        <v>66</v>
      </c>
      <c r="M126" s="10" t="s">
        <v>61</v>
      </c>
      <c r="N126" s="10" t="s">
        <v>208</v>
      </c>
      <c r="O126" s="10"/>
      <c r="P126" s="10"/>
      <c r="Q126" s="10" t="s">
        <v>1058</v>
      </c>
      <c r="R126" s="10" t="s">
        <v>61</v>
      </c>
      <c r="S126" s="10" t="s">
        <v>296</v>
      </c>
      <c r="T126" s="10" t="n">
        <v>1</v>
      </c>
      <c r="U126" s="10" t="s">
        <v>66</v>
      </c>
      <c r="V126" s="10" t="s">
        <v>66</v>
      </c>
      <c r="W126" s="10"/>
      <c r="X126" s="10"/>
      <c r="Y126" s="10"/>
      <c r="Z126" s="11" t="str">
        <f aca="false">IF(AND(ISNUMBER(X126),ISNUMBER(Y126),X126&gt;0),1-Y126/X126,"")</f>
        <v/>
      </c>
      <c r="AA126" s="10" t="s">
        <v>192</v>
      </c>
      <c r="AB126" s="10" t="s">
        <v>193</v>
      </c>
      <c r="AC126" s="10" t="s">
        <v>66</v>
      </c>
      <c r="AD126" s="10" t="s">
        <v>66</v>
      </c>
      <c r="AE126" s="10" t="n">
        <v>99.49</v>
      </c>
      <c r="AF126" s="12" t="str">
        <f aca="false">IF(ISNUMBER(AE126),IF(AE126&gt;99,"Y","N"),"")</f>
        <v>Y</v>
      </c>
      <c r="AG126" s="10" t="s">
        <v>66</v>
      </c>
      <c r="AH126" s="10" t="s">
        <v>66</v>
      </c>
      <c r="AI126" s="10" t="s">
        <v>66</v>
      </c>
      <c r="AJ126" s="10" t="s">
        <v>66</v>
      </c>
      <c r="AK126" s="10" t="s">
        <v>66</v>
      </c>
      <c r="AL126" s="10" t="s">
        <v>66</v>
      </c>
      <c r="AM126" s="10" t="s">
        <v>66</v>
      </c>
      <c r="AN126" s="10" t="s">
        <v>66</v>
      </c>
      <c r="AO126" s="10" t="s">
        <v>66</v>
      </c>
      <c r="AP126" s="10" t="s">
        <v>66</v>
      </c>
      <c r="AQ126" s="10" t="s">
        <v>66</v>
      </c>
      <c r="AR126" s="10" t="s">
        <v>66</v>
      </c>
      <c r="AS126" s="10" t="s">
        <v>66</v>
      </c>
      <c r="AT126" s="10"/>
      <c r="AU126" s="10" t="s">
        <v>1059</v>
      </c>
    </row>
    <row r="127" customFormat="false" ht="15" hidden="false" customHeight="false" outlineLevel="0" collapsed="false">
      <c r="A127" s="4" t="s">
        <v>1060</v>
      </c>
      <c r="B127" s="10"/>
      <c r="C127" s="10" t="n">
        <v>2025</v>
      </c>
      <c r="D127" s="10" t="s">
        <v>1061</v>
      </c>
      <c r="E127" s="10" t="s">
        <v>486</v>
      </c>
      <c r="F127" s="10" t="s">
        <v>60</v>
      </c>
      <c r="G127" s="10" t="s">
        <v>1062</v>
      </c>
      <c r="H127" s="10" t="s">
        <v>61</v>
      </c>
      <c r="I127" s="10" t="s">
        <v>61</v>
      </c>
      <c r="J127" s="10" t="s">
        <v>61</v>
      </c>
      <c r="K127" s="10" t="s">
        <v>66</v>
      </c>
      <c r="L127" s="10" t="s">
        <v>66</v>
      </c>
      <c r="M127" s="10" t="s">
        <v>66</v>
      </c>
      <c r="N127" s="10" t="s">
        <v>488</v>
      </c>
      <c r="O127" s="10"/>
      <c r="P127" s="10"/>
      <c r="Q127" s="10" t="s">
        <v>1063</v>
      </c>
      <c r="R127" s="10" t="s">
        <v>61</v>
      </c>
      <c r="S127" s="10" t="s">
        <v>1064</v>
      </c>
      <c r="T127" s="10" t="n">
        <v>2</v>
      </c>
      <c r="U127" s="10" t="s">
        <v>66</v>
      </c>
      <c r="V127" s="10" t="s">
        <v>66</v>
      </c>
      <c r="W127" s="10" t="s">
        <v>201</v>
      </c>
      <c r="X127" s="10"/>
      <c r="Y127" s="10"/>
      <c r="Z127" s="11" t="str">
        <f aca="false">IF(AND(ISNUMBER(X127),ISNUMBER(Y127),X127&gt;0),1-Y127/X127,"")</f>
        <v/>
      </c>
      <c r="AA127" s="10" t="s">
        <v>356</v>
      </c>
      <c r="AB127" s="10" t="s">
        <v>193</v>
      </c>
      <c r="AC127" s="10" t="s">
        <v>66</v>
      </c>
      <c r="AD127" s="10" t="s">
        <v>66</v>
      </c>
      <c r="AE127" s="10" t="n">
        <v>92.4</v>
      </c>
      <c r="AF127" s="12" t="str">
        <f aca="false">IF(ISNUMBER(AE127),IF(AE127&gt;99,"Y","N"),"")</f>
        <v>N</v>
      </c>
      <c r="AG127" s="10" t="s">
        <v>61</v>
      </c>
      <c r="AH127" s="10" t="s">
        <v>66</v>
      </c>
      <c r="AI127" s="10" t="s">
        <v>66</v>
      </c>
      <c r="AJ127" s="10" t="s">
        <v>66</v>
      </c>
      <c r="AK127" s="10" t="s">
        <v>61</v>
      </c>
      <c r="AL127" s="10" t="s">
        <v>66</v>
      </c>
      <c r="AM127" s="10" t="s">
        <v>61</v>
      </c>
      <c r="AN127" s="10" t="s">
        <v>66</v>
      </c>
      <c r="AO127" s="10" t="s">
        <v>61</v>
      </c>
      <c r="AP127" s="10" t="s">
        <v>66</v>
      </c>
      <c r="AQ127" s="10" t="s">
        <v>66</v>
      </c>
      <c r="AR127" s="10" t="s">
        <v>66</v>
      </c>
      <c r="AS127" s="10" t="s">
        <v>66</v>
      </c>
      <c r="AT127" s="10"/>
      <c r="AU127" s="10" t="s">
        <v>1065</v>
      </c>
    </row>
    <row r="128" customFormat="false" ht="15" hidden="false" customHeight="false" outlineLevel="0" collapsed="false">
      <c r="A128" s="4" t="s">
        <v>1066</v>
      </c>
      <c r="B128" s="10" t="s">
        <v>1067</v>
      </c>
      <c r="C128" s="10" t="n">
        <v>2025</v>
      </c>
      <c r="D128" s="10" t="s">
        <v>1068</v>
      </c>
      <c r="E128" s="10" t="s">
        <v>478</v>
      </c>
      <c r="F128" s="10" t="s">
        <v>60</v>
      </c>
      <c r="G128" s="10" t="s">
        <v>1069</v>
      </c>
      <c r="H128" s="10" t="s">
        <v>61</v>
      </c>
      <c r="I128" s="10" t="s">
        <v>66</v>
      </c>
      <c r="J128" s="10" t="s">
        <v>66</v>
      </c>
      <c r="K128" s="10" t="s">
        <v>66</v>
      </c>
      <c r="L128" s="10" t="s">
        <v>66</v>
      </c>
      <c r="M128" s="10" t="s">
        <v>61</v>
      </c>
      <c r="N128" s="10" t="s">
        <v>16</v>
      </c>
      <c r="O128" s="10"/>
      <c r="P128" s="10"/>
      <c r="Q128" s="10" t="s">
        <v>497</v>
      </c>
      <c r="R128" s="10" t="s">
        <v>61</v>
      </c>
      <c r="S128" s="10" t="s">
        <v>1070</v>
      </c>
      <c r="T128" s="10" t="n">
        <v>2</v>
      </c>
      <c r="U128" s="10" t="s">
        <v>66</v>
      </c>
      <c r="V128" s="10" t="s">
        <v>66</v>
      </c>
      <c r="W128" s="10" t="s">
        <v>201</v>
      </c>
      <c r="X128" s="10" t="n">
        <v>70</v>
      </c>
      <c r="Y128" s="10" t="n">
        <v>60</v>
      </c>
      <c r="Z128" s="11" t="n">
        <f aca="false">IF(AND(ISNUMBER(X128),ISNUMBER(Y128),X128&gt;0),1-Y128/X128,"")</f>
        <v>0.142857142857143</v>
      </c>
      <c r="AA128" s="10" t="s">
        <v>192</v>
      </c>
      <c r="AB128" s="10" t="s">
        <v>193</v>
      </c>
      <c r="AC128" s="10" t="s">
        <v>66</v>
      </c>
      <c r="AD128" s="10" t="s">
        <v>61</v>
      </c>
      <c r="AE128" s="10" t="n">
        <v>99.95</v>
      </c>
      <c r="AF128" s="12" t="str">
        <f aca="false">IF(ISNUMBER(AE128),IF(AE128&gt;99,"Y","N"),"")</f>
        <v>Y</v>
      </c>
      <c r="AG128" s="10" t="s">
        <v>66</v>
      </c>
      <c r="AH128" s="10" t="s">
        <v>61</v>
      </c>
      <c r="AI128" s="10" t="s">
        <v>61</v>
      </c>
      <c r="AJ128" s="10" t="s">
        <v>61</v>
      </c>
      <c r="AK128" s="10" t="s">
        <v>61</v>
      </c>
      <c r="AL128" s="10" t="s">
        <v>66</v>
      </c>
      <c r="AM128" s="10" t="s">
        <v>66</v>
      </c>
      <c r="AN128" s="10" t="s">
        <v>66</v>
      </c>
      <c r="AO128" s="10" t="s">
        <v>66</v>
      </c>
      <c r="AP128" s="10" t="s">
        <v>66</v>
      </c>
      <c r="AQ128" s="10" t="s">
        <v>66</v>
      </c>
      <c r="AR128" s="10" t="s">
        <v>66</v>
      </c>
      <c r="AS128" s="10" t="s">
        <v>66</v>
      </c>
      <c r="AT128" s="10"/>
      <c r="AU128" s="10" t="s">
        <v>1071</v>
      </c>
    </row>
    <row r="129" customFormat="false" ht="15" hidden="false" customHeight="false" outlineLevel="0" collapsed="false">
      <c r="A129" s="4" t="s">
        <v>1072</v>
      </c>
      <c r="B129" s="10" t="s">
        <v>1073</v>
      </c>
      <c r="C129" s="10" t="n">
        <v>2025</v>
      </c>
      <c r="D129" s="10" t="s">
        <v>1074</v>
      </c>
      <c r="E129" s="10" t="s">
        <v>478</v>
      </c>
      <c r="F129" s="10" t="s">
        <v>60</v>
      </c>
      <c r="G129" s="10" t="s">
        <v>1075</v>
      </c>
      <c r="H129" s="10" t="s">
        <v>61</v>
      </c>
      <c r="I129" s="10" t="s">
        <v>66</v>
      </c>
      <c r="J129" s="10" t="s">
        <v>61</v>
      </c>
      <c r="K129" s="10" t="s">
        <v>61</v>
      </c>
      <c r="L129" s="10" t="s">
        <v>61</v>
      </c>
      <c r="M129" s="10" t="s">
        <v>61</v>
      </c>
      <c r="N129" s="10" t="s">
        <v>208</v>
      </c>
      <c r="O129" s="10"/>
      <c r="P129" s="10"/>
      <c r="Q129" s="10" t="s">
        <v>1076</v>
      </c>
      <c r="R129" s="10" t="s">
        <v>61</v>
      </c>
      <c r="S129" s="10" t="s">
        <v>249</v>
      </c>
      <c r="T129" s="10" t="n">
        <v>1</v>
      </c>
      <c r="U129" s="10" t="s">
        <v>61</v>
      </c>
      <c r="V129" s="10" t="s">
        <v>61</v>
      </c>
      <c r="W129" s="10" t="s">
        <v>201</v>
      </c>
      <c r="X129" s="10"/>
      <c r="Y129" s="10"/>
      <c r="Z129" s="11" t="str">
        <f aca="false">IF(AND(ISNUMBER(X129),ISNUMBER(Y129),X129&gt;0),1-Y129/X129,"")</f>
        <v/>
      </c>
      <c r="AA129" s="10" t="s">
        <v>202</v>
      </c>
      <c r="AB129" s="10" t="s">
        <v>193</v>
      </c>
      <c r="AC129" s="10" t="s">
        <v>61</v>
      </c>
      <c r="AD129" s="10" t="s">
        <v>66</v>
      </c>
      <c r="AE129" s="10" t="n">
        <v>99.2</v>
      </c>
      <c r="AF129" s="12" t="str">
        <f aca="false">IF(ISNUMBER(AE129),IF(AE129&gt;99,"Y","N"),"")</f>
        <v>Y</v>
      </c>
      <c r="AG129" s="10" t="s">
        <v>66</v>
      </c>
      <c r="AH129" s="10" t="s">
        <v>66</v>
      </c>
      <c r="AI129" s="10" t="s">
        <v>61</v>
      </c>
      <c r="AJ129" s="10" t="s">
        <v>61</v>
      </c>
      <c r="AK129" s="10" t="s">
        <v>61</v>
      </c>
      <c r="AL129" s="10" t="s">
        <v>61</v>
      </c>
      <c r="AM129" s="10" t="s">
        <v>66</v>
      </c>
      <c r="AN129" s="10" t="s">
        <v>66</v>
      </c>
      <c r="AO129" s="10" t="s">
        <v>61</v>
      </c>
      <c r="AP129" s="10" t="s">
        <v>66</v>
      </c>
      <c r="AQ129" s="10" t="s">
        <v>61</v>
      </c>
      <c r="AR129" s="10" t="s">
        <v>66</v>
      </c>
      <c r="AS129" s="10" t="s">
        <v>66</v>
      </c>
      <c r="AT129" s="10"/>
      <c r="AU129" s="10" t="s">
        <v>1077</v>
      </c>
    </row>
    <row r="130" customFormat="false" ht="15" hidden="false" customHeight="false" outlineLevel="0" collapsed="false">
      <c r="A130" s="4" t="s">
        <v>1078</v>
      </c>
      <c r="B130" s="10" t="s">
        <v>1079</v>
      </c>
      <c r="C130" s="10" t="n">
        <v>2025</v>
      </c>
      <c r="D130" s="10" t="s">
        <v>1080</v>
      </c>
      <c r="E130" s="10" t="s">
        <v>1081</v>
      </c>
      <c r="F130" s="10" t="s">
        <v>60</v>
      </c>
      <c r="G130" s="10"/>
      <c r="H130" s="10" t="s">
        <v>66</v>
      </c>
      <c r="I130" s="10" t="s">
        <v>66</v>
      </c>
      <c r="J130" s="10" t="s">
        <v>61</v>
      </c>
      <c r="K130" s="10" t="s">
        <v>66</v>
      </c>
      <c r="L130" s="10" t="s">
        <v>66</v>
      </c>
      <c r="M130" s="10" t="s">
        <v>66</v>
      </c>
      <c r="N130" s="10" t="s">
        <v>208</v>
      </c>
      <c r="O130" s="10"/>
      <c r="P130" s="10"/>
      <c r="Q130" s="10" t="s">
        <v>434</v>
      </c>
      <c r="R130" s="10" t="s">
        <v>61</v>
      </c>
      <c r="S130" s="10" t="s">
        <v>1082</v>
      </c>
      <c r="T130" s="10" t="n">
        <v>2</v>
      </c>
      <c r="U130" s="10" t="s">
        <v>66</v>
      </c>
      <c r="V130" s="10" t="s">
        <v>66</v>
      </c>
      <c r="W130" s="10"/>
      <c r="X130" s="10"/>
      <c r="Y130" s="10"/>
      <c r="Z130" s="11" t="str">
        <f aca="false">IF(AND(ISNUMBER(X130),ISNUMBER(Y130),X130&gt;0),1-Y130/X130,"")</f>
        <v/>
      </c>
      <c r="AA130" s="10" t="s">
        <v>192</v>
      </c>
      <c r="AB130" s="10" t="s">
        <v>193</v>
      </c>
      <c r="AC130" s="10" t="s">
        <v>66</v>
      </c>
      <c r="AD130" s="10" t="s">
        <v>66</v>
      </c>
      <c r="AE130" s="10" t="n">
        <v>99.05</v>
      </c>
      <c r="AF130" s="12" t="str">
        <f aca="false">IF(ISNUMBER(AE130),IF(AE130&gt;99,"Y","N"),"")</f>
        <v>Y</v>
      </c>
      <c r="AG130" s="10" t="s">
        <v>61</v>
      </c>
      <c r="AH130" s="10" t="s">
        <v>61</v>
      </c>
      <c r="AI130" s="10" t="s">
        <v>66</v>
      </c>
      <c r="AJ130" s="10" t="s">
        <v>66</v>
      </c>
      <c r="AK130" s="10" t="s">
        <v>61</v>
      </c>
      <c r="AL130" s="10" t="s">
        <v>66</v>
      </c>
      <c r="AM130" s="10" t="s">
        <v>66</v>
      </c>
      <c r="AN130" s="10" t="s">
        <v>66</v>
      </c>
      <c r="AO130" s="10" t="s">
        <v>66</v>
      </c>
      <c r="AP130" s="10" t="s">
        <v>66</v>
      </c>
      <c r="AQ130" s="10" t="s">
        <v>66</v>
      </c>
      <c r="AR130" s="10" t="s">
        <v>66</v>
      </c>
      <c r="AS130" s="10" t="s">
        <v>66</v>
      </c>
      <c r="AT130" s="10"/>
      <c r="AU130" s="10" t="s">
        <v>1083</v>
      </c>
    </row>
    <row r="131" customFormat="false" ht="15" hidden="false" customHeight="false" outlineLevel="0" collapsed="false">
      <c r="A131" s="4" t="s">
        <v>1084</v>
      </c>
      <c r="B131" s="10" t="s">
        <v>1085</v>
      </c>
      <c r="C131" s="10" t="n">
        <v>2025</v>
      </c>
      <c r="D131" s="10" t="s">
        <v>1086</v>
      </c>
      <c r="E131" s="10" t="s">
        <v>653</v>
      </c>
      <c r="F131" s="10" t="s">
        <v>60</v>
      </c>
      <c r="G131" s="10" t="s">
        <v>1087</v>
      </c>
      <c r="H131" s="10" t="s">
        <v>61</v>
      </c>
      <c r="I131" s="10" t="s">
        <v>66</v>
      </c>
      <c r="J131" s="10" t="s">
        <v>61</v>
      </c>
      <c r="K131" s="10" t="s">
        <v>66</v>
      </c>
      <c r="L131" s="10" t="s">
        <v>66</v>
      </c>
      <c r="M131" s="10" t="s">
        <v>66</v>
      </c>
      <c r="N131" s="10" t="s">
        <v>208</v>
      </c>
      <c r="O131" s="10"/>
      <c r="P131" s="10"/>
      <c r="Q131" s="10" t="s">
        <v>1088</v>
      </c>
      <c r="R131" s="10" t="s">
        <v>61</v>
      </c>
      <c r="S131" s="10" t="s">
        <v>1082</v>
      </c>
      <c r="T131" s="10" t="n">
        <v>2</v>
      </c>
      <c r="U131" s="10" t="s">
        <v>66</v>
      </c>
      <c r="V131" s="10" t="s">
        <v>66</v>
      </c>
      <c r="W131" s="10" t="s">
        <v>201</v>
      </c>
      <c r="X131" s="10"/>
      <c r="Y131" s="10"/>
      <c r="Z131" s="11" t="str">
        <f aca="false">IF(AND(ISNUMBER(X131),ISNUMBER(Y131),X131&gt;0),1-Y131/X131,"")</f>
        <v/>
      </c>
      <c r="AA131" s="10" t="s">
        <v>202</v>
      </c>
      <c r="AB131" s="10" t="s">
        <v>193</v>
      </c>
      <c r="AC131" s="10" t="s">
        <v>61</v>
      </c>
      <c r="AD131" s="10" t="s">
        <v>66</v>
      </c>
      <c r="AE131" s="10" t="n">
        <v>98</v>
      </c>
      <c r="AF131" s="12" t="str">
        <f aca="false">IF(ISNUMBER(AE131),IF(AE131&gt;99,"Y","N"),"")</f>
        <v>N</v>
      </c>
      <c r="AG131" s="10" t="s">
        <v>61</v>
      </c>
      <c r="AH131" s="10" t="s">
        <v>66</v>
      </c>
      <c r="AI131" s="10" t="s">
        <v>66</v>
      </c>
      <c r="AJ131" s="10" t="s">
        <v>66</v>
      </c>
      <c r="AK131" s="10" t="s">
        <v>61</v>
      </c>
      <c r="AL131" s="10" t="s">
        <v>66</v>
      </c>
      <c r="AM131" s="10" t="s">
        <v>66</v>
      </c>
      <c r="AN131" s="10" t="s">
        <v>66</v>
      </c>
      <c r="AO131" s="10" t="s">
        <v>66</v>
      </c>
      <c r="AP131" s="10" t="s">
        <v>66</v>
      </c>
      <c r="AQ131" s="10" t="s">
        <v>66</v>
      </c>
      <c r="AR131" s="10" t="s">
        <v>66</v>
      </c>
      <c r="AS131" s="10" t="s">
        <v>66</v>
      </c>
      <c r="AT131" s="10"/>
      <c r="AU131" s="10" t="s">
        <v>1089</v>
      </c>
    </row>
  </sheetData>
  <dataValidations count="29">
    <dataValidation allowBlank="true" errorStyle="stop" operator="between" showDropDown="false" showErrorMessage="false" showInputMessage="false" sqref="H2:H131" type="list">
      <formula1>"Y,N"</formula1>
      <formula2>0</formula2>
    </dataValidation>
    <dataValidation allowBlank="true" errorStyle="stop" operator="between" showDropDown="false" showErrorMessage="false" showInputMessage="false" sqref="I2:I131" type="list">
      <formula1>"Y,N"</formula1>
      <formula2>0</formula2>
    </dataValidation>
    <dataValidation allowBlank="true" errorStyle="stop" operator="between" showDropDown="false" showErrorMessage="false" showInputMessage="false" sqref="J2:J131" type="list">
      <formula1>"Y,N"</formula1>
      <formula2>0</formula2>
    </dataValidation>
    <dataValidation allowBlank="true" errorStyle="stop" operator="between" showDropDown="false" showErrorMessage="false" showInputMessage="false" sqref="K2:K131" type="list">
      <formula1>"Y,N"</formula1>
      <formula2>0</formula2>
    </dataValidation>
    <dataValidation allowBlank="true" errorStyle="stop" operator="between" showDropDown="false" showErrorMessage="false" showInputMessage="false" sqref="L2:L131" type="list">
      <formula1>"Y,N"</formula1>
      <formula2>0</formula2>
    </dataValidation>
    <dataValidation allowBlank="true" errorStyle="stop" operator="between" showDropDown="false" showErrorMessage="false" showInputMessage="false" sqref="M2:M131" type="list">
      <formula1>"Y,N"</formula1>
      <formula2>0</formula2>
    </dataValidation>
    <dataValidation allowBlank="true" errorStyle="stop" operator="between" showDropDown="false" showErrorMessage="false" showInputMessage="false" sqref="R2:R131" type="list">
      <formula1>"Y,N"</formula1>
      <formula2>0</formula2>
    </dataValidation>
    <dataValidation allowBlank="true" errorStyle="stop" operator="between" showDropDown="false" showErrorMessage="false" showInputMessage="false" sqref="U2:U131" type="list">
      <formula1>"Y,N"</formula1>
      <formula2>0</formula2>
    </dataValidation>
    <dataValidation allowBlank="true" errorStyle="stop" operator="between" showDropDown="false" showErrorMessage="false" showInputMessage="false" sqref="V2:V131" type="list">
      <formula1>"Y,N"</formula1>
      <formula2>0</formula2>
    </dataValidation>
    <dataValidation allowBlank="true" errorStyle="stop" operator="between" showDropDown="false" showErrorMessage="false" showInputMessage="false" sqref="AC2:AC131" type="list">
      <formula1>"Y,N"</formula1>
      <formula2>0</formula2>
    </dataValidation>
    <dataValidation allowBlank="true" errorStyle="stop" operator="between" showDropDown="false" showErrorMessage="false" showInputMessage="false" sqref="AD2:AD131" type="list">
      <formula1>"Y,N"</formula1>
      <formula2>0</formula2>
    </dataValidation>
    <dataValidation allowBlank="true" errorStyle="stop" operator="between" showDropDown="false" showErrorMessage="false" showInputMessage="false" sqref="AG2:AG131" type="list">
      <formula1>"Y,N"</formula1>
      <formula2>0</formula2>
    </dataValidation>
    <dataValidation allowBlank="true" errorStyle="stop" operator="between" showDropDown="false" showErrorMessage="false" showInputMessage="false" sqref="AH2:AH131" type="list">
      <formula1>"Y,N"</formula1>
      <formula2>0</formula2>
    </dataValidation>
    <dataValidation allowBlank="true" errorStyle="stop" operator="between" showDropDown="false" showErrorMessage="false" showInputMessage="false" sqref="AI2:AI131" type="list">
      <formula1>"Y,N"</formula1>
      <formula2>0</formula2>
    </dataValidation>
    <dataValidation allowBlank="true" errorStyle="stop" operator="between" showDropDown="false" showErrorMessage="false" showInputMessage="false" sqref="AJ2:AJ131" type="list">
      <formula1>"Y,N"</formula1>
      <formula2>0</formula2>
    </dataValidation>
    <dataValidation allowBlank="true" errorStyle="stop" operator="between" showDropDown="false" showErrorMessage="false" showInputMessage="false" sqref="AK2:AK131" type="list">
      <formula1>"Y,N"</formula1>
      <formula2>0</formula2>
    </dataValidation>
    <dataValidation allowBlank="true" errorStyle="stop" operator="between" showDropDown="false" showErrorMessage="false" showInputMessage="false" sqref="AL2:AL131" type="list">
      <formula1>"Y,N"</formula1>
      <formula2>0</formula2>
    </dataValidation>
    <dataValidation allowBlank="true" errorStyle="stop" operator="between" showDropDown="false" showErrorMessage="false" showInputMessage="false" sqref="AM2:AM131" type="list">
      <formula1>"Y,N"</formula1>
      <formula2>0</formula2>
    </dataValidation>
    <dataValidation allowBlank="true" errorStyle="stop" operator="between" showDropDown="false" showErrorMessage="false" showInputMessage="false" sqref="AN2:AN131" type="list">
      <formula1>"Y,N"</formula1>
      <formula2>0</formula2>
    </dataValidation>
    <dataValidation allowBlank="true" errorStyle="stop" operator="between" showDropDown="false" showErrorMessage="false" showInputMessage="false" sqref="AO2:AO131" type="list">
      <formula1>"Y,N"</formula1>
      <formula2>0</formula2>
    </dataValidation>
    <dataValidation allowBlank="true" errorStyle="stop" operator="between" showDropDown="false" showErrorMessage="false" showInputMessage="false" sqref="AP2:AP131" type="list">
      <formula1>"Y,N"</formula1>
      <formula2>0</formula2>
    </dataValidation>
    <dataValidation allowBlank="true" errorStyle="stop" operator="between" showDropDown="false" showErrorMessage="false" showInputMessage="false" sqref="AQ2:AQ131" type="list">
      <formula1>"Y,N"</formula1>
      <formula2>0</formula2>
    </dataValidation>
    <dataValidation allowBlank="true" errorStyle="stop" operator="between" showDropDown="false" showErrorMessage="false" showInputMessage="false" sqref="AR2:AR131" type="list">
      <formula1>"Y,N"</formula1>
      <formula2>0</formula2>
    </dataValidation>
    <dataValidation allowBlank="true" errorStyle="stop" operator="between" showDropDown="false" showErrorMessage="false" showInputMessage="false" sqref="AS2:AS131" type="list">
      <formula1>"Y,N"</formula1>
      <formula2>0</formula2>
    </dataValidation>
    <dataValidation allowBlank="true" errorStyle="stop" operator="between" showDropDown="false" showErrorMessage="false" showInputMessage="false" sqref="AB2:AB131" type="list">
      <formula1>"Y,N,Unclear"</formula1>
      <formula2>0</formula2>
    </dataValidation>
    <dataValidation allowBlank="true" errorStyle="stop" operator="between" showDropDown="false" showErrorMessage="false" showInputMessage="false" sqref="N2:N131" type="list">
      <formula1>"Filter,Wrapper-seq,Wrapper-meta,Embedded,Hybrid,Transformation"</formula1>
      <formula2>0</formula2>
    </dataValidation>
    <dataValidation allowBlank="true" errorStyle="stop" operator="between" showDropDown="false" showErrorMessage="false" showInputMessage="false" sqref="F2:F131" type="list">
      <formula1>"Journal,Conference"</formula1>
      <formula2>0</formula2>
    </dataValidation>
    <dataValidation allowBlank="true" errorStyle="stop" operator="between" showDropDown="false" showErrorMessage="false" showInputMessage="false" sqref="W2:W131" type="list">
      <formula1>"Binary,Multi-class,Both"</formula1>
      <formula2>0</formula2>
    </dataValidation>
    <dataValidation allowBlank="true" errorStyle="stop" operator="between" showDropDown="false" showErrorMessage="false" showInputMessage="false" sqref="AA2:AA131" type="list">
      <formula1>"Single hold-out,k-fold CV,Repeated hold-out,Official split,Temporal,Not stated"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9" min="2" style="0" width="8"/>
    <col collapsed="false" customWidth="true" hidden="false" outlineLevel="0" max="10" min="10" style="0" width="11"/>
    <col collapsed="false" customWidth="true" hidden="false" outlineLevel="0" max="11" min="11" style="0" width="10"/>
  </cols>
  <sheetData>
    <row r="1" customFormat="false" ht="45" hidden="false" customHeight="true" outlineLevel="0" collapsed="false">
      <c r="A1" s="8" t="s">
        <v>9</v>
      </c>
      <c r="B1" s="8" t="s">
        <v>1090</v>
      </c>
      <c r="C1" s="8" t="s">
        <v>1091</v>
      </c>
      <c r="D1" s="8" t="s">
        <v>1092</v>
      </c>
      <c r="E1" s="8" t="s">
        <v>1093</v>
      </c>
      <c r="F1" s="8" t="s">
        <v>1094</v>
      </c>
      <c r="G1" s="8" t="s">
        <v>1095</v>
      </c>
      <c r="H1" s="8" t="s">
        <v>1096</v>
      </c>
      <c r="I1" s="8" t="s">
        <v>1097</v>
      </c>
      <c r="J1" s="8" t="s">
        <v>1098</v>
      </c>
      <c r="K1" s="8" t="s">
        <v>1099</v>
      </c>
    </row>
    <row r="2" customFormat="false" ht="15" hidden="false" customHeight="false" outlineLevel="0" collapsed="false">
      <c r="A2" s="3" t="str">
        <f aca="false">Studies!A2</f>
        <v>S001</v>
      </c>
      <c r="B2" s="10" t="n">
        <v>1</v>
      </c>
      <c r="C2" s="10" t="n">
        <v>0</v>
      </c>
      <c r="D2" s="10" t="n">
        <v>0</v>
      </c>
      <c r="E2" s="10" t="n">
        <v>0.5</v>
      </c>
      <c r="F2" s="10" t="n">
        <v>0.5</v>
      </c>
      <c r="G2" s="10" t="n">
        <v>0</v>
      </c>
      <c r="H2" s="10" t="n">
        <v>0</v>
      </c>
      <c r="I2" s="10" t="n">
        <v>0</v>
      </c>
      <c r="J2" s="3" t="n">
        <f aca="false">IF(COUNT(B2:I2)=8,SUM(B2:I2),"")</f>
        <v>2</v>
      </c>
      <c r="K2" s="3" t="str">
        <f aca="false">IF(J2="","",IF(J2&gt;=5,"High",IF(J2&gt;=3.5,"Medium","Low")))</f>
        <v>Low</v>
      </c>
    </row>
    <row r="3" customFormat="false" ht="15" hidden="false" customHeight="false" outlineLevel="0" collapsed="false">
      <c r="A3" s="3" t="str">
        <f aca="false">Studies!A3</f>
        <v>S002</v>
      </c>
      <c r="B3" s="10" t="n">
        <v>1</v>
      </c>
      <c r="C3" s="10" t="n">
        <v>0</v>
      </c>
      <c r="D3" s="10" t="n">
        <v>1</v>
      </c>
      <c r="E3" s="10" t="n">
        <v>0</v>
      </c>
      <c r="F3" s="10" t="n">
        <v>0.5</v>
      </c>
      <c r="G3" s="10" t="n">
        <v>1</v>
      </c>
      <c r="H3" s="10" t="n">
        <v>0</v>
      </c>
      <c r="I3" s="10" t="n">
        <v>0</v>
      </c>
      <c r="J3" s="3" t="n">
        <f aca="false">IF(COUNT(B3:I3)=8,SUM(B3:I3),"")</f>
        <v>3.5</v>
      </c>
      <c r="K3" s="3" t="str">
        <f aca="false">IF(J3="","",IF(J3&gt;=5,"High",IF(J3&gt;=3.5,"Medium","Low")))</f>
        <v>Medium</v>
      </c>
    </row>
    <row r="4" customFormat="false" ht="15" hidden="false" customHeight="false" outlineLevel="0" collapsed="false">
      <c r="A4" s="3" t="str">
        <f aca="false">Studies!A4</f>
        <v>S003</v>
      </c>
      <c r="B4" s="10" t="n">
        <v>1</v>
      </c>
      <c r="C4" s="10" t="n">
        <v>0</v>
      </c>
      <c r="D4" s="10" t="n">
        <v>1</v>
      </c>
      <c r="E4" s="10" t="n">
        <v>1</v>
      </c>
      <c r="F4" s="10" t="n">
        <v>1</v>
      </c>
      <c r="G4" s="10" t="n">
        <v>0.5</v>
      </c>
      <c r="H4" s="10" t="n">
        <v>0</v>
      </c>
      <c r="I4" s="10" t="n">
        <v>0</v>
      </c>
      <c r="J4" s="3" t="n">
        <f aca="false">IF(COUNT(B4:I4)=8,SUM(B4:I4),"")</f>
        <v>4.5</v>
      </c>
      <c r="K4" s="3" t="str">
        <f aca="false">IF(J4="","",IF(J4&gt;=5,"High",IF(J4&gt;=3.5,"Medium","Low")))</f>
        <v>Medium</v>
      </c>
    </row>
    <row r="5" customFormat="false" ht="15" hidden="false" customHeight="false" outlineLevel="0" collapsed="false">
      <c r="A5" s="3" t="str">
        <f aca="false">Studies!A5</f>
        <v>S004</v>
      </c>
      <c r="B5" s="10" t="n">
        <v>0.5</v>
      </c>
      <c r="C5" s="10" t="n">
        <v>0</v>
      </c>
      <c r="D5" s="10" t="n">
        <v>0</v>
      </c>
      <c r="E5" s="10" t="n">
        <v>0.5</v>
      </c>
      <c r="F5" s="10" t="n">
        <v>0.5</v>
      </c>
      <c r="G5" s="10" t="n">
        <v>0.5</v>
      </c>
      <c r="H5" s="10" t="n">
        <v>0</v>
      </c>
      <c r="I5" s="10" t="n">
        <v>0</v>
      </c>
      <c r="J5" s="3" t="n">
        <f aca="false">IF(COUNT(B5:I5)=8,SUM(B5:I5),"")</f>
        <v>2</v>
      </c>
      <c r="K5" s="3" t="str">
        <f aca="false">IF(J5="","",IF(J5&gt;=5,"High",IF(J5&gt;=3.5,"Medium","Low")))</f>
        <v>Low</v>
      </c>
    </row>
    <row r="6" customFormat="false" ht="15" hidden="false" customHeight="false" outlineLevel="0" collapsed="false">
      <c r="A6" s="3" t="str">
        <f aca="false">Studies!A6</f>
        <v>S005</v>
      </c>
      <c r="B6" s="10" t="n">
        <v>0.5</v>
      </c>
      <c r="C6" s="10" t="n">
        <v>0</v>
      </c>
      <c r="D6" s="10" t="n">
        <v>0</v>
      </c>
      <c r="E6" s="10" t="n">
        <v>0.5</v>
      </c>
      <c r="F6" s="10" t="n">
        <v>1</v>
      </c>
      <c r="G6" s="10" t="n">
        <v>0.5</v>
      </c>
      <c r="H6" s="10" t="n">
        <v>0</v>
      </c>
      <c r="I6" s="10" t="n">
        <v>0</v>
      </c>
      <c r="J6" s="3" t="n">
        <f aca="false">IF(COUNT(B6:I6)=8,SUM(B6:I6),"")</f>
        <v>2.5</v>
      </c>
      <c r="K6" s="3" t="str">
        <f aca="false">IF(J6="","",IF(J6&gt;=5,"High",IF(J6&gt;=3.5,"Medium","Low")))</f>
        <v>Low</v>
      </c>
    </row>
    <row r="7" customFormat="false" ht="15" hidden="false" customHeight="false" outlineLevel="0" collapsed="false">
      <c r="A7" s="3" t="str">
        <f aca="false">Studies!A7</f>
        <v>S006</v>
      </c>
      <c r="B7" s="10" t="n">
        <v>0.5</v>
      </c>
      <c r="C7" s="10" t="n">
        <v>0</v>
      </c>
      <c r="D7" s="10" t="n">
        <v>0</v>
      </c>
      <c r="E7" s="10" t="n">
        <v>0.5</v>
      </c>
      <c r="F7" s="10" t="n">
        <v>0</v>
      </c>
      <c r="G7" s="10" t="n">
        <v>1</v>
      </c>
      <c r="H7" s="10" t="n">
        <v>1</v>
      </c>
      <c r="I7" s="10" t="n">
        <v>0</v>
      </c>
      <c r="J7" s="3" t="n">
        <f aca="false">IF(COUNT(B7:I7)=8,SUM(B7:I7),"")</f>
        <v>3</v>
      </c>
      <c r="K7" s="3" t="str">
        <f aca="false">IF(J7="","",IF(J7&gt;=5,"High",IF(J7&gt;=3.5,"Medium","Low")))</f>
        <v>Low</v>
      </c>
    </row>
    <row r="8" customFormat="false" ht="15" hidden="false" customHeight="false" outlineLevel="0" collapsed="false">
      <c r="A8" s="3" t="str">
        <f aca="false">Studies!A8</f>
        <v>S007</v>
      </c>
      <c r="B8" s="10" t="n">
        <v>0.5</v>
      </c>
      <c r="C8" s="10" t="n">
        <v>0</v>
      </c>
      <c r="D8" s="10" t="n">
        <v>1</v>
      </c>
      <c r="E8" s="10" t="n">
        <v>1</v>
      </c>
      <c r="F8" s="10" t="n">
        <v>0</v>
      </c>
      <c r="G8" s="10" t="n">
        <v>1</v>
      </c>
      <c r="H8" s="10" t="n">
        <v>0</v>
      </c>
      <c r="I8" s="10" t="n">
        <v>0</v>
      </c>
      <c r="J8" s="3" t="n">
        <f aca="false">IF(COUNT(B8:I8)=8,SUM(B8:I8),"")</f>
        <v>3.5</v>
      </c>
      <c r="K8" s="3" t="str">
        <f aca="false">IF(J8="","",IF(J8&gt;=5,"High",IF(J8&gt;=3.5,"Medium","Low")))</f>
        <v>Medium</v>
      </c>
    </row>
    <row r="9" customFormat="false" ht="15" hidden="false" customHeight="false" outlineLevel="0" collapsed="false">
      <c r="A9" s="3" t="str">
        <f aca="false">Studies!A9</f>
        <v>S008</v>
      </c>
      <c r="B9" s="10" t="n">
        <v>1</v>
      </c>
      <c r="C9" s="10" t="n">
        <v>0</v>
      </c>
      <c r="D9" s="10" t="n">
        <v>1</v>
      </c>
      <c r="E9" s="10" t="n">
        <v>0.5</v>
      </c>
      <c r="F9" s="10" t="n">
        <v>0.5</v>
      </c>
      <c r="G9" s="10" t="n">
        <v>1</v>
      </c>
      <c r="H9" s="10" t="n">
        <v>0</v>
      </c>
      <c r="I9" s="10" t="n">
        <v>0</v>
      </c>
      <c r="J9" s="3" t="n">
        <f aca="false">IF(COUNT(B9:I9)=8,SUM(B9:I9),"")</f>
        <v>4</v>
      </c>
      <c r="K9" s="3" t="str">
        <f aca="false">IF(J9="","",IF(J9&gt;=5,"High",IF(J9&gt;=3.5,"Medium","Low")))</f>
        <v>Medium</v>
      </c>
    </row>
    <row r="10" customFormat="false" ht="15" hidden="false" customHeight="false" outlineLevel="0" collapsed="false">
      <c r="A10" s="3" t="str">
        <f aca="false">Studies!A10</f>
        <v>S009</v>
      </c>
      <c r="B10" s="10" t="n">
        <v>1</v>
      </c>
      <c r="C10" s="10" t="n">
        <v>0</v>
      </c>
      <c r="D10" s="10" t="n">
        <v>1</v>
      </c>
      <c r="E10" s="10" t="n">
        <v>1</v>
      </c>
      <c r="F10" s="10" t="n">
        <v>1</v>
      </c>
      <c r="G10" s="10" t="n">
        <v>1</v>
      </c>
      <c r="H10" s="10" t="n">
        <v>1</v>
      </c>
      <c r="I10" s="10" t="n">
        <v>0</v>
      </c>
      <c r="J10" s="3" t="n">
        <f aca="false">IF(COUNT(B10:I10)=8,SUM(B10:I10),"")</f>
        <v>6</v>
      </c>
      <c r="K10" s="3" t="str">
        <f aca="false">IF(J10="","",IF(J10&gt;=5,"High",IF(J10&gt;=3.5,"Medium","Low")))</f>
        <v>High</v>
      </c>
    </row>
    <row r="11" customFormat="false" ht="15" hidden="false" customHeight="false" outlineLevel="0" collapsed="false">
      <c r="A11" s="3" t="str">
        <f aca="false">Studies!A11</f>
        <v>S010</v>
      </c>
      <c r="B11" s="10" t="n">
        <v>0.5</v>
      </c>
      <c r="C11" s="10" t="n">
        <v>0</v>
      </c>
      <c r="D11" s="10" t="n">
        <v>0</v>
      </c>
      <c r="E11" s="10" t="n">
        <v>0.5</v>
      </c>
      <c r="F11" s="10" t="n">
        <v>0</v>
      </c>
      <c r="G11" s="10" t="n">
        <v>0.5</v>
      </c>
      <c r="H11" s="10" t="n">
        <v>1</v>
      </c>
      <c r="I11" s="10" t="n">
        <v>0</v>
      </c>
      <c r="J11" s="3" t="n">
        <f aca="false">IF(COUNT(B11:I11)=8,SUM(B11:I11),"")</f>
        <v>2.5</v>
      </c>
      <c r="K11" s="3" t="str">
        <f aca="false">IF(J11="","",IF(J11&gt;=5,"High",IF(J11&gt;=3.5,"Medium","Low")))</f>
        <v>Low</v>
      </c>
    </row>
    <row r="12" customFormat="false" ht="15" hidden="false" customHeight="false" outlineLevel="0" collapsed="false">
      <c r="A12" s="3" t="str">
        <f aca="false">Studies!A12</f>
        <v>S011</v>
      </c>
      <c r="B12" s="10" t="n">
        <v>0.5</v>
      </c>
      <c r="C12" s="10" t="n">
        <v>0</v>
      </c>
      <c r="D12" s="10" t="n">
        <v>0</v>
      </c>
      <c r="E12" s="10" t="n">
        <v>1</v>
      </c>
      <c r="F12" s="10" t="n">
        <v>0</v>
      </c>
      <c r="G12" s="10" t="n">
        <v>0.5</v>
      </c>
      <c r="H12" s="10" t="n">
        <v>0</v>
      </c>
      <c r="I12" s="10" t="n">
        <v>0</v>
      </c>
      <c r="J12" s="3" t="n">
        <f aca="false">IF(COUNT(B12:I12)=8,SUM(B12:I12),"")</f>
        <v>2</v>
      </c>
      <c r="K12" s="3" t="str">
        <f aca="false">IF(J12="","",IF(J12&gt;=5,"High",IF(J12&gt;=3.5,"Medium","Low")))</f>
        <v>Low</v>
      </c>
    </row>
    <row r="13" customFormat="false" ht="15" hidden="false" customHeight="false" outlineLevel="0" collapsed="false">
      <c r="A13" s="3" t="str">
        <f aca="false">Studies!A13</f>
        <v>S012</v>
      </c>
      <c r="B13" s="10" t="n">
        <v>1</v>
      </c>
      <c r="C13" s="10" t="n">
        <v>0</v>
      </c>
      <c r="D13" s="10" t="n">
        <v>0</v>
      </c>
      <c r="E13" s="10" t="n">
        <v>0.5</v>
      </c>
      <c r="F13" s="10" t="n">
        <v>0.5</v>
      </c>
      <c r="G13" s="10" t="n">
        <v>0</v>
      </c>
      <c r="H13" s="10" t="n">
        <v>0</v>
      </c>
      <c r="I13" s="10" t="n">
        <v>0</v>
      </c>
      <c r="J13" s="3" t="n">
        <f aca="false">IF(COUNT(B13:I13)=8,SUM(B13:I13),"")</f>
        <v>2</v>
      </c>
      <c r="K13" s="3" t="str">
        <f aca="false">IF(J13="","",IF(J13&gt;=5,"High",IF(J13&gt;=3.5,"Medium","Low")))</f>
        <v>Low</v>
      </c>
    </row>
    <row r="14" customFormat="false" ht="15" hidden="false" customHeight="false" outlineLevel="0" collapsed="false">
      <c r="A14" s="3" t="str">
        <f aca="false">Studies!A14</f>
        <v>S013</v>
      </c>
      <c r="B14" s="10" t="n">
        <v>0.5</v>
      </c>
      <c r="C14" s="10" t="n">
        <v>0</v>
      </c>
      <c r="D14" s="10" t="n">
        <v>0</v>
      </c>
      <c r="E14" s="10" t="n">
        <v>0.5</v>
      </c>
      <c r="F14" s="10" t="n">
        <v>1</v>
      </c>
      <c r="G14" s="10" t="n">
        <v>1</v>
      </c>
      <c r="H14" s="10" t="n">
        <v>1</v>
      </c>
      <c r="I14" s="10" t="n">
        <v>0</v>
      </c>
      <c r="J14" s="3" t="n">
        <f aca="false">IF(COUNT(B14:I14)=8,SUM(B14:I14),"")</f>
        <v>4</v>
      </c>
      <c r="K14" s="3" t="str">
        <f aca="false">IF(J14="","",IF(J14&gt;=5,"High",IF(J14&gt;=3.5,"Medium","Low")))</f>
        <v>Medium</v>
      </c>
    </row>
    <row r="15" customFormat="false" ht="15" hidden="false" customHeight="false" outlineLevel="0" collapsed="false">
      <c r="A15" s="3" t="str">
        <f aca="false">Studies!A15</f>
        <v>S014</v>
      </c>
      <c r="B15" s="10" t="n">
        <v>1</v>
      </c>
      <c r="C15" s="10" t="n">
        <v>0</v>
      </c>
      <c r="D15" s="10" t="n">
        <v>0</v>
      </c>
      <c r="E15" s="10" t="n">
        <v>1</v>
      </c>
      <c r="F15" s="10" t="n">
        <v>0.5</v>
      </c>
      <c r="G15" s="10" t="n">
        <v>1</v>
      </c>
      <c r="H15" s="10" t="n">
        <v>0</v>
      </c>
      <c r="I15" s="10" t="n">
        <v>0</v>
      </c>
      <c r="J15" s="3" t="n">
        <f aca="false">IF(COUNT(B15:I15)=8,SUM(B15:I15),"")</f>
        <v>3.5</v>
      </c>
      <c r="K15" s="3" t="str">
        <f aca="false">IF(J15="","",IF(J15&gt;=5,"High",IF(J15&gt;=3.5,"Medium","Low")))</f>
        <v>Medium</v>
      </c>
    </row>
    <row r="16" customFormat="false" ht="15" hidden="false" customHeight="false" outlineLevel="0" collapsed="false">
      <c r="A16" s="3" t="str">
        <f aca="false">Studies!A16</f>
        <v>S015</v>
      </c>
      <c r="B16" s="10" t="n">
        <v>1</v>
      </c>
      <c r="C16" s="10" t="n">
        <v>0</v>
      </c>
      <c r="D16" s="10" t="n">
        <v>0</v>
      </c>
      <c r="E16" s="10" t="n">
        <v>0.5</v>
      </c>
      <c r="F16" s="10" t="n">
        <v>1</v>
      </c>
      <c r="G16" s="10" t="n">
        <v>0.5</v>
      </c>
      <c r="H16" s="10" t="n">
        <v>1</v>
      </c>
      <c r="I16" s="10" t="n">
        <v>0</v>
      </c>
      <c r="J16" s="3" t="n">
        <f aca="false">IF(COUNT(B16:I16)=8,SUM(B16:I16),"")</f>
        <v>4</v>
      </c>
      <c r="K16" s="3" t="str">
        <f aca="false">IF(J16="","",IF(J16&gt;=5,"High",IF(J16&gt;=3.5,"Medium","Low")))</f>
        <v>Medium</v>
      </c>
    </row>
    <row r="17" customFormat="false" ht="15" hidden="false" customHeight="false" outlineLevel="0" collapsed="false">
      <c r="A17" s="3" t="str">
        <f aca="false">Studies!A17</f>
        <v>S016</v>
      </c>
      <c r="B17" s="10" t="n">
        <v>1</v>
      </c>
      <c r="C17" s="10" t="n">
        <v>0</v>
      </c>
      <c r="D17" s="10" t="n">
        <v>0</v>
      </c>
      <c r="E17" s="10" t="n">
        <v>0.5</v>
      </c>
      <c r="F17" s="10" t="n">
        <v>0.5</v>
      </c>
      <c r="G17" s="10" t="n">
        <v>0.5</v>
      </c>
      <c r="H17" s="10" t="n">
        <v>0</v>
      </c>
      <c r="I17" s="10" t="n">
        <v>0</v>
      </c>
      <c r="J17" s="3" t="n">
        <f aca="false">IF(COUNT(B17:I17)=8,SUM(B17:I17),"")</f>
        <v>2.5</v>
      </c>
      <c r="K17" s="3" t="str">
        <f aca="false">IF(J17="","",IF(J17&gt;=5,"High",IF(J17&gt;=3.5,"Medium","Low")))</f>
        <v>Low</v>
      </c>
    </row>
    <row r="18" customFormat="false" ht="15" hidden="false" customHeight="false" outlineLevel="0" collapsed="false">
      <c r="A18" s="3" t="str">
        <f aca="false">Studies!A18</f>
        <v>S017</v>
      </c>
      <c r="B18" s="10" t="n">
        <v>0.5</v>
      </c>
      <c r="C18" s="10" t="n">
        <v>0</v>
      </c>
      <c r="D18" s="10" t="n">
        <v>0</v>
      </c>
      <c r="E18" s="10" t="n">
        <v>0.5</v>
      </c>
      <c r="F18" s="10" t="n">
        <v>0</v>
      </c>
      <c r="G18" s="10" t="n">
        <v>0</v>
      </c>
      <c r="H18" s="10" t="n">
        <v>0</v>
      </c>
      <c r="I18" s="10" t="n">
        <v>0</v>
      </c>
      <c r="J18" s="3" t="n">
        <f aca="false">IF(COUNT(B18:I18)=8,SUM(B18:I18),"")</f>
        <v>1</v>
      </c>
      <c r="K18" s="3" t="str">
        <f aca="false">IF(J18="","",IF(J18&gt;=5,"High",IF(J18&gt;=3.5,"Medium","Low")))</f>
        <v>Low</v>
      </c>
    </row>
    <row r="19" customFormat="false" ht="15" hidden="false" customHeight="false" outlineLevel="0" collapsed="false">
      <c r="A19" s="3" t="str">
        <f aca="false">Studies!A19</f>
        <v>S018</v>
      </c>
      <c r="B19" s="10" t="n">
        <v>0.5</v>
      </c>
      <c r="C19" s="10" t="n">
        <v>0</v>
      </c>
      <c r="D19" s="10" t="n">
        <v>0</v>
      </c>
      <c r="E19" s="10" t="n">
        <v>1</v>
      </c>
      <c r="F19" s="10" t="n">
        <v>0.5</v>
      </c>
      <c r="G19" s="10" t="n">
        <v>0.5</v>
      </c>
      <c r="H19" s="10" t="n">
        <v>0</v>
      </c>
      <c r="I19" s="10" t="n">
        <v>0</v>
      </c>
      <c r="J19" s="3" t="n">
        <f aca="false">IF(COUNT(B19:I19)=8,SUM(B19:I19),"")</f>
        <v>2.5</v>
      </c>
      <c r="K19" s="3" t="str">
        <f aca="false">IF(J19="","",IF(J19&gt;=5,"High",IF(J19&gt;=3.5,"Medium","Low")))</f>
        <v>Low</v>
      </c>
    </row>
    <row r="20" customFormat="false" ht="15" hidden="false" customHeight="false" outlineLevel="0" collapsed="false">
      <c r="A20" s="3" t="str">
        <f aca="false">Studies!A20</f>
        <v>S019</v>
      </c>
      <c r="B20" s="10" t="n">
        <v>0.5</v>
      </c>
      <c r="C20" s="10" t="n">
        <v>0</v>
      </c>
      <c r="D20" s="10" t="n">
        <v>0</v>
      </c>
      <c r="E20" s="10" t="n">
        <v>0.5</v>
      </c>
      <c r="F20" s="10" t="n">
        <v>1</v>
      </c>
      <c r="G20" s="10" t="n">
        <v>0.5</v>
      </c>
      <c r="H20" s="10" t="n">
        <v>0</v>
      </c>
      <c r="I20" s="10" t="n">
        <v>0</v>
      </c>
      <c r="J20" s="3" t="n">
        <f aca="false">IF(COUNT(B20:I20)=8,SUM(B20:I20),"")</f>
        <v>2.5</v>
      </c>
      <c r="K20" s="3" t="str">
        <f aca="false">IF(J20="","",IF(J20&gt;=5,"High",IF(J20&gt;=3.5,"Medium","Low")))</f>
        <v>Low</v>
      </c>
    </row>
    <row r="21" customFormat="false" ht="15" hidden="false" customHeight="false" outlineLevel="0" collapsed="false">
      <c r="A21" s="3" t="str">
        <f aca="false">Studies!A21</f>
        <v>S020</v>
      </c>
      <c r="B21" s="10" t="n">
        <v>1</v>
      </c>
      <c r="C21" s="10" t="n">
        <v>0</v>
      </c>
      <c r="D21" s="10" t="n">
        <v>0</v>
      </c>
      <c r="E21" s="10" t="n">
        <v>0</v>
      </c>
      <c r="F21" s="10" t="n">
        <v>0</v>
      </c>
      <c r="G21" s="10" t="n">
        <v>0</v>
      </c>
      <c r="H21" s="10" t="n">
        <v>0</v>
      </c>
      <c r="I21" s="10" t="n">
        <v>0</v>
      </c>
      <c r="J21" s="3" t="n">
        <f aca="false">IF(COUNT(B21:I21)=8,SUM(B21:I21),"")</f>
        <v>1</v>
      </c>
      <c r="K21" s="3" t="str">
        <f aca="false">IF(J21="","",IF(J21&gt;=5,"High",IF(J21&gt;=3.5,"Medium","Low")))</f>
        <v>Low</v>
      </c>
    </row>
    <row r="22" customFormat="false" ht="15" hidden="false" customHeight="false" outlineLevel="0" collapsed="false">
      <c r="A22" s="3" t="str">
        <f aca="false">Studies!A22</f>
        <v>S021</v>
      </c>
      <c r="B22" s="10" t="n">
        <v>1</v>
      </c>
      <c r="C22" s="10" t="n">
        <v>0</v>
      </c>
      <c r="D22" s="10" t="n">
        <v>1</v>
      </c>
      <c r="E22" s="10" t="n">
        <v>1</v>
      </c>
      <c r="F22" s="10" t="n">
        <v>1</v>
      </c>
      <c r="G22" s="10" t="n">
        <v>1</v>
      </c>
      <c r="H22" s="10" t="n">
        <v>0</v>
      </c>
      <c r="I22" s="10" t="n">
        <v>0</v>
      </c>
      <c r="J22" s="3" t="n">
        <f aca="false">IF(COUNT(B22:I22)=8,SUM(B22:I22),"")</f>
        <v>5</v>
      </c>
      <c r="K22" s="3" t="str">
        <f aca="false">IF(J22="","",IF(J22&gt;=5,"High",IF(J22&gt;=3.5,"Medium","Low")))</f>
        <v>High</v>
      </c>
    </row>
    <row r="23" customFormat="false" ht="15" hidden="false" customHeight="false" outlineLevel="0" collapsed="false">
      <c r="A23" s="3" t="str">
        <f aca="false">Studies!A23</f>
        <v>S022</v>
      </c>
      <c r="B23" s="10" t="n">
        <v>0.5</v>
      </c>
      <c r="C23" s="10" t="n">
        <v>0</v>
      </c>
      <c r="D23" s="10" t="n">
        <v>0.5</v>
      </c>
      <c r="E23" s="10" t="n">
        <v>1</v>
      </c>
      <c r="F23" s="10" t="n">
        <v>0.5</v>
      </c>
      <c r="G23" s="10" t="n">
        <v>1</v>
      </c>
      <c r="H23" s="10" t="n">
        <v>1</v>
      </c>
      <c r="I23" s="10" t="n">
        <v>0</v>
      </c>
      <c r="J23" s="3" t="n">
        <f aca="false">IF(COUNT(B23:I23)=8,SUM(B23:I23),"")</f>
        <v>4.5</v>
      </c>
      <c r="K23" s="3" t="str">
        <f aca="false">IF(J23="","",IF(J23&gt;=5,"High",IF(J23&gt;=3.5,"Medium","Low")))</f>
        <v>Medium</v>
      </c>
    </row>
    <row r="24" customFormat="false" ht="15" hidden="false" customHeight="false" outlineLevel="0" collapsed="false">
      <c r="A24" s="3" t="str">
        <f aca="false">Studies!A24</f>
        <v>S023</v>
      </c>
      <c r="B24" s="10" t="n">
        <v>1</v>
      </c>
      <c r="C24" s="10" t="n">
        <v>0</v>
      </c>
      <c r="D24" s="10" t="n">
        <v>1</v>
      </c>
      <c r="E24" s="10" t="n">
        <v>0.5</v>
      </c>
      <c r="F24" s="10" t="n">
        <v>0.5</v>
      </c>
      <c r="G24" s="10" t="n">
        <v>1</v>
      </c>
      <c r="H24" s="10" t="n">
        <v>1</v>
      </c>
      <c r="I24" s="10" t="n">
        <v>0</v>
      </c>
      <c r="J24" s="3" t="n">
        <f aca="false">IF(COUNT(B24:I24)=8,SUM(B24:I24),"")</f>
        <v>5</v>
      </c>
      <c r="K24" s="3" t="str">
        <f aca="false">IF(J24="","",IF(J24&gt;=5,"High",IF(J24&gt;=3.5,"Medium","Low")))</f>
        <v>High</v>
      </c>
    </row>
    <row r="25" customFormat="false" ht="15" hidden="false" customHeight="false" outlineLevel="0" collapsed="false">
      <c r="A25" s="3" t="str">
        <f aca="false">Studies!A25</f>
        <v>S024</v>
      </c>
      <c r="B25" s="10" t="n">
        <v>1</v>
      </c>
      <c r="C25" s="10" t="n">
        <v>0</v>
      </c>
      <c r="D25" s="10" t="n">
        <v>0</v>
      </c>
      <c r="E25" s="10" t="n">
        <v>1</v>
      </c>
      <c r="F25" s="10" t="n">
        <v>0</v>
      </c>
      <c r="G25" s="10" t="n">
        <v>0</v>
      </c>
      <c r="H25" s="10" t="n">
        <v>0</v>
      </c>
      <c r="I25" s="10" t="n">
        <v>0</v>
      </c>
      <c r="J25" s="3" t="n">
        <f aca="false">IF(COUNT(B25:I25)=8,SUM(B25:I25),"")</f>
        <v>2</v>
      </c>
      <c r="K25" s="3" t="str">
        <f aca="false">IF(J25="","",IF(J25&gt;=5,"High",IF(J25&gt;=3.5,"Medium","Low")))</f>
        <v>Low</v>
      </c>
    </row>
    <row r="26" customFormat="false" ht="15" hidden="false" customHeight="false" outlineLevel="0" collapsed="false">
      <c r="A26" s="3" t="str">
        <f aca="false">Studies!A26</f>
        <v>S025</v>
      </c>
      <c r="B26" s="10" t="n">
        <v>0.5</v>
      </c>
      <c r="C26" s="10" t="n">
        <v>0</v>
      </c>
      <c r="D26" s="10" t="n">
        <v>1</v>
      </c>
      <c r="E26" s="10" t="n">
        <v>1</v>
      </c>
      <c r="F26" s="10" t="n">
        <v>0</v>
      </c>
      <c r="G26" s="10" t="n">
        <v>1</v>
      </c>
      <c r="H26" s="10" t="n">
        <v>1</v>
      </c>
      <c r="I26" s="10" t="n">
        <v>0</v>
      </c>
      <c r="J26" s="3" t="n">
        <f aca="false">IF(COUNT(B26:I26)=8,SUM(B26:I26),"")</f>
        <v>4.5</v>
      </c>
      <c r="K26" s="3" t="str">
        <f aca="false">IF(J26="","",IF(J26&gt;=5,"High",IF(J26&gt;=3.5,"Medium","Low")))</f>
        <v>Medium</v>
      </c>
    </row>
    <row r="27" customFormat="false" ht="15" hidden="false" customHeight="false" outlineLevel="0" collapsed="false">
      <c r="A27" s="3" t="str">
        <f aca="false">Studies!A27</f>
        <v>S026</v>
      </c>
      <c r="B27" s="10" t="n">
        <v>1</v>
      </c>
      <c r="C27" s="10" t="n">
        <v>0</v>
      </c>
      <c r="D27" s="10" t="n">
        <v>0</v>
      </c>
      <c r="E27" s="10" t="n">
        <v>0</v>
      </c>
      <c r="F27" s="10" t="n">
        <v>0.5</v>
      </c>
      <c r="G27" s="10" t="n">
        <v>0.5</v>
      </c>
      <c r="H27" s="10" t="n">
        <v>0</v>
      </c>
      <c r="I27" s="10" t="n">
        <v>0</v>
      </c>
      <c r="J27" s="3" t="n">
        <f aca="false">IF(COUNT(B27:I27)=8,SUM(B27:I27),"")</f>
        <v>2</v>
      </c>
      <c r="K27" s="3" t="str">
        <f aca="false">IF(J27="","",IF(J27&gt;=5,"High",IF(J27&gt;=3.5,"Medium","Low")))</f>
        <v>Low</v>
      </c>
    </row>
    <row r="28" customFormat="false" ht="15" hidden="false" customHeight="false" outlineLevel="0" collapsed="false">
      <c r="A28" s="3" t="str">
        <f aca="false">Studies!A28</f>
        <v>S027</v>
      </c>
      <c r="B28" s="10" t="n">
        <v>0.5</v>
      </c>
      <c r="C28" s="10" t="n">
        <v>0</v>
      </c>
      <c r="D28" s="10" t="n">
        <v>0</v>
      </c>
      <c r="E28" s="10" t="n">
        <v>0.5</v>
      </c>
      <c r="F28" s="10" t="n">
        <v>0.5</v>
      </c>
      <c r="G28" s="10" t="n">
        <v>0</v>
      </c>
      <c r="H28" s="10" t="n">
        <v>1</v>
      </c>
      <c r="I28" s="10" t="n">
        <v>0</v>
      </c>
      <c r="J28" s="3" t="n">
        <f aca="false">IF(COUNT(B28:I28)=8,SUM(B28:I28),"")</f>
        <v>2.5</v>
      </c>
      <c r="K28" s="3" t="str">
        <f aca="false">IF(J28="","",IF(J28&gt;=5,"High",IF(J28&gt;=3.5,"Medium","Low")))</f>
        <v>Low</v>
      </c>
    </row>
    <row r="29" customFormat="false" ht="15" hidden="false" customHeight="false" outlineLevel="0" collapsed="false">
      <c r="A29" s="3" t="str">
        <f aca="false">Studies!A29</f>
        <v>S028</v>
      </c>
      <c r="B29" s="10" t="n">
        <v>1</v>
      </c>
      <c r="C29" s="10" t="n">
        <v>0</v>
      </c>
      <c r="D29" s="10" t="n">
        <v>1</v>
      </c>
      <c r="E29" s="10" t="n">
        <v>0.5</v>
      </c>
      <c r="F29" s="10" t="n">
        <v>0.5</v>
      </c>
      <c r="G29" s="10" t="n">
        <v>0.5</v>
      </c>
      <c r="H29" s="10" t="n">
        <v>0</v>
      </c>
      <c r="I29" s="10" t="n">
        <v>0</v>
      </c>
      <c r="J29" s="3" t="n">
        <f aca="false">IF(COUNT(B29:I29)=8,SUM(B29:I29),"")</f>
        <v>3.5</v>
      </c>
      <c r="K29" s="3" t="str">
        <f aca="false">IF(J29="","",IF(J29&gt;=5,"High",IF(J29&gt;=3.5,"Medium","Low")))</f>
        <v>Medium</v>
      </c>
    </row>
    <row r="30" customFormat="false" ht="15" hidden="false" customHeight="false" outlineLevel="0" collapsed="false">
      <c r="A30" s="3" t="str">
        <f aca="false">Studies!A30</f>
        <v>S029</v>
      </c>
      <c r="B30" s="10" t="n">
        <v>0.5</v>
      </c>
      <c r="C30" s="10" t="n">
        <v>0</v>
      </c>
      <c r="D30" s="10" t="n">
        <v>1</v>
      </c>
      <c r="E30" s="10" t="n">
        <v>0</v>
      </c>
      <c r="F30" s="10" t="n">
        <v>0</v>
      </c>
      <c r="G30" s="10" t="n">
        <v>0.5</v>
      </c>
      <c r="H30" s="10" t="n">
        <v>1</v>
      </c>
      <c r="I30" s="10" t="n">
        <v>0</v>
      </c>
      <c r="J30" s="3" t="n">
        <f aca="false">IF(COUNT(B30:I30)=8,SUM(B30:I30),"")</f>
        <v>3</v>
      </c>
      <c r="K30" s="3" t="str">
        <f aca="false">IF(J30="","",IF(J30&gt;=5,"High",IF(J30&gt;=3.5,"Medium","Low")))</f>
        <v>Low</v>
      </c>
    </row>
    <row r="31" customFormat="false" ht="15" hidden="false" customHeight="false" outlineLevel="0" collapsed="false">
      <c r="A31" s="3" t="str">
        <f aca="false">Studies!A31</f>
        <v>S030</v>
      </c>
      <c r="B31" s="10" t="n">
        <v>0.5</v>
      </c>
      <c r="C31" s="10" t="n">
        <v>0</v>
      </c>
      <c r="D31" s="10" t="n">
        <v>0</v>
      </c>
      <c r="E31" s="10" t="n">
        <v>0</v>
      </c>
      <c r="F31" s="10" t="n">
        <v>0</v>
      </c>
      <c r="G31" s="10" t="n">
        <v>0.5</v>
      </c>
      <c r="H31" s="10" t="n">
        <v>1</v>
      </c>
      <c r="I31" s="10" t="n">
        <v>0</v>
      </c>
      <c r="J31" s="3" t="n">
        <f aca="false">IF(COUNT(B31:I31)=8,SUM(B31:I31),"")</f>
        <v>2</v>
      </c>
      <c r="K31" s="3" t="str">
        <f aca="false">IF(J31="","",IF(J31&gt;=5,"High",IF(J31&gt;=3.5,"Medium","Low")))</f>
        <v>Low</v>
      </c>
    </row>
    <row r="32" customFormat="false" ht="15" hidden="false" customHeight="false" outlineLevel="0" collapsed="false">
      <c r="A32" s="3" t="str">
        <f aca="false">Studies!A32</f>
        <v>S031</v>
      </c>
      <c r="B32" s="10" t="n">
        <v>0.5</v>
      </c>
      <c r="C32" s="10" t="n">
        <v>0</v>
      </c>
      <c r="D32" s="10" t="n">
        <v>0</v>
      </c>
      <c r="E32" s="10" t="n">
        <v>0.5</v>
      </c>
      <c r="F32" s="10" t="n">
        <v>0.5</v>
      </c>
      <c r="G32" s="10" t="n">
        <v>0.5</v>
      </c>
      <c r="H32" s="10" t="n">
        <v>1</v>
      </c>
      <c r="I32" s="10" t="n">
        <v>0</v>
      </c>
      <c r="J32" s="3" t="n">
        <f aca="false">IF(COUNT(B32:I32)=8,SUM(B32:I32),"")</f>
        <v>3</v>
      </c>
      <c r="K32" s="3" t="str">
        <f aca="false">IF(J32="","",IF(J32&gt;=5,"High",IF(J32&gt;=3.5,"Medium","Low")))</f>
        <v>Low</v>
      </c>
    </row>
    <row r="33" customFormat="false" ht="15" hidden="false" customHeight="false" outlineLevel="0" collapsed="false">
      <c r="A33" s="3" t="str">
        <f aca="false">Studies!A33</f>
        <v>S032</v>
      </c>
      <c r="B33" s="10" t="n">
        <v>1</v>
      </c>
      <c r="C33" s="10" t="n">
        <v>0</v>
      </c>
      <c r="D33" s="10" t="n">
        <v>0</v>
      </c>
      <c r="E33" s="10" t="n">
        <v>1</v>
      </c>
      <c r="F33" s="10" t="n">
        <v>0.5</v>
      </c>
      <c r="G33" s="10" t="n">
        <v>1</v>
      </c>
      <c r="H33" s="10" t="n">
        <v>0</v>
      </c>
      <c r="I33" s="10" t="n">
        <v>0</v>
      </c>
      <c r="J33" s="3" t="n">
        <f aca="false">IF(COUNT(B33:I33)=8,SUM(B33:I33),"")</f>
        <v>3.5</v>
      </c>
      <c r="K33" s="3" t="str">
        <f aca="false">IF(J33="","",IF(J33&gt;=5,"High",IF(J33&gt;=3.5,"Medium","Low")))</f>
        <v>Medium</v>
      </c>
    </row>
    <row r="34" customFormat="false" ht="15" hidden="false" customHeight="false" outlineLevel="0" collapsed="false">
      <c r="A34" s="3" t="str">
        <f aca="false">Studies!A34</f>
        <v>S033</v>
      </c>
      <c r="B34" s="10" t="n">
        <v>1</v>
      </c>
      <c r="C34" s="10" t="n">
        <v>0</v>
      </c>
      <c r="D34" s="10" t="n">
        <v>0</v>
      </c>
      <c r="E34" s="10" t="n">
        <v>0.5</v>
      </c>
      <c r="F34" s="10" t="n">
        <v>0.5</v>
      </c>
      <c r="G34" s="10" t="n">
        <v>0</v>
      </c>
      <c r="H34" s="10" t="n">
        <v>1</v>
      </c>
      <c r="I34" s="10" t="n">
        <v>0</v>
      </c>
      <c r="J34" s="3" t="n">
        <f aca="false">IF(COUNT(B34:I34)=8,SUM(B34:I34),"")</f>
        <v>3</v>
      </c>
      <c r="K34" s="3" t="str">
        <f aca="false">IF(J34="","",IF(J34&gt;=5,"High",IF(J34&gt;=3.5,"Medium","Low")))</f>
        <v>Low</v>
      </c>
    </row>
    <row r="35" customFormat="false" ht="15" hidden="false" customHeight="false" outlineLevel="0" collapsed="false">
      <c r="A35" s="3" t="str">
        <f aca="false">Studies!A35</f>
        <v>S034</v>
      </c>
      <c r="B35" s="10" t="n">
        <v>0.5</v>
      </c>
      <c r="C35" s="10" t="n">
        <v>0</v>
      </c>
      <c r="D35" s="10" t="n">
        <v>0</v>
      </c>
      <c r="E35" s="10" t="n">
        <v>0</v>
      </c>
      <c r="F35" s="10" t="n">
        <v>0</v>
      </c>
      <c r="G35" s="10" t="n">
        <v>0.5</v>
      </c>
      <c r="H35" s="10" t="n">
        <v>0</v>
      </c>
      <c r="I35" s="10" t="n">
        <v>0</v>
      </c>
      <c r="J35" s="3" t="n">
        <f aca="false">IF(COUNT(B35:I35)=8,SUM(B35:I35),"")</f>
        <v>1</v>
      </c>
      <c r="K35" s="3" t="str">
        <f aca="false">IF(J35="","",IF(J35&gt;=5,"High",IF(J35&gt;=3.5,"Medium","Low")))</f>
        <v>Low</v>
      </c>
    </row>
    <row r="36" customFormat="false" ht="15" hidden="false" customHeight="false" outlineLevel="0" collapsed="false">
      <c r="A36" s="3" t="str">
        <f aca="false">Studies!A36</f>
        <v>S035</v>
      </c>
      <c r="B36" s="10" t="n">
        <v>1</v>
      </c>
      <c r="C36" s="10" t="n">
        <v>0</v>
      </c>
      <c r="D36" s="10" t="n">
        <v>1</v>
      </c>
      <c r="E36" s="10" t="n">
        <v>0.5</v>
      </c>
      <c r="F36" s="10" t="n">
        <v>0</v>
      </c>
      <c r="G36" s="10" t="n">
        <v>0</v>
      </c>
      <c r="H36" s="10" t="n">
        <v>1</v>
      </c>
      <c r="I36" s="10" t="n">
        <v>0</v>
      </c>
      <c r="J36" s="3" t="n">
        <f aca="false">IF(COUNT(B36:I36)=8,SUM(B36:I36),"")</f>
        <v>3.5</v>
      </c>
      <c r="K36" s="3" t="str">
        <f aca="false">IF(J36="","",IF(J36&gt;=5,"High",IF(J36&gt;=3.5,"Medium","Low")))</f>
        <v>Medium</v>
      </c>
    </row>
    <row r="37" customFormat="false" ht="15" hidden="false" customHeight="false" outlineLevel="0" collapsed="false">
      <c r="A37" s="3" t="str">
        <f aca="false">Studies!A37</f>
        <v>S036</v>
      </c>
      <c r="B37" s="10" t="n">
        <v>0.5</v>
      </c>
      <c r="C37" s="10" t="n">
        <v>0</v>
      </c>
      <c r="D37" s="10" t="n">
        <v>0.5</v>
      </c>
      <c r="E37" s="10" t="n">
        <v>1</v>
      </c>
      <c r="F37" s="10" t="n">
        <v>0.5</v>
      </c>
      <c r="G37" s="10" t="n">
        <v>0</v>
      </c>
      <c r="H37" s="10" t="n">
        <v>0</v>
      </c>
      <c r="I37" s="10" t="n">
        <v>0</v>
      </c>
      <c r="J37" s="3" t="n">
        <f aca="false">IF(COUNT(B37:I37)=8,SUM(B37:I37),"")</f>
        <v>2.5</v>
      </c>
      <c r="K37" s="3" t="str">
        <f aca="false">IF(J37="","",IF(J37&gt;=5,"High",IF(J37&gt;=3.5,"Medium","Low")))</f>
        <v>Low</v>
      </c>
    </row>
    <row r="38" customFormat="false" ht="15" hidden="false" customHeight="false" outlineLevel="0" collapsed="false">
      <c r="A38" s="3" t="str">
        <f aca="false">Studies!A38</f>
        <v>S037</v>
      </c>
      <c r="B38" s="10" t="n">
        <v>1</v>
      </c>
      <c r="C38" s="10" t="n">
        <v>0</v>
      </c>
      <c r="D38" s="10" t="n">
        <v>1</v>
      </c>
      <c r="E38" s="10" t="n">
        <v>0.5</v>
      </c>
      <c r="F38" s="10" t="n">
        <v>1</v>
      </c>
      <c r="G38" s="10" t="n">
        <v>0.5</v>
      </c>
      <c r="H38" s="10" t="n">
        <v>1</v>
      </c>
      <c r="I38" s="10" t="n">
        <v>0</v>
      </c>
      <c r="J38" s="3" t="n">
        <f aca="false">IF(COUNT(B38:I38)=8,SUM(B38:I38),"")</f>
        <v>5</v>
      </c>
      <c r="K38" s="3" t="str">
        <f aca="false">IF(J38="","",IF(J38&gt;=5,"High",IF(J38&gt;=3.5,"Medium","Low")))</f>
        <v>High</v>
      </c>
    </row>
    <row r="39" customFormat="false" ht="15" hidden="false" customHeight="false" outlineLevel="0" collapsed="false">
      <c r="A39" s="3" t="str">
        <f aca="false">Studies!A39</f>
        <v>S038</v>
      </c>
      <c r="B39" s="10" t="n">
        <v>1</v>
      </c>
      <c r="C39" s="10" t="n">
        <v>0</v>
      </c>
      <c r="D39" s="10" t="n">
        <v>1</v>
      </c>
      <c r="E39" s="10" t="n">
        <v>1</v>
      </c>
      <c r="F39" s="10" t="n">
        <v>0.5</v>
      </c>
      <c r="G39" s="10" t="n">
        <v>1</v>
      </c>
      <c r="H39" s="10" t="n">
        <v>0</v>
      </c>
      <c r="I39" s="10" t="n">
        <v>0</v>
      </c>
      <c r="J39" s="3" t="n">
        <f aca="false">IF(COUNT(B39:I39)=8,SUM(B39:I39),"")</f>
        <v>4.5</v>
      </c>
      <c r="K39" s="3" t="str">
        <f aca="false">IF(J39="","",IF(J39&gt;=5,"High",IF(J39&gt;=3.5,"Medium","Low")))</f>
        <v>Medium</v>
      </c>
    </row>
    <row r="40" customFormat="false" ht="15" hidden="false" customHeight="false" outlineLevel="0" collapsed="false">
      <c r="A40" s="3" t="str">
        <f aca="false">Studies!A40</f>
        <v>S039</v>
      </c>
      <c r="B40" s="10" t="n">
        <v>0.5</v>
      </c>
      <c r="C40" s="10" t="n">
        <v>0</v>
      </c>
      <c r="D40" s="10" t="n">
        <v>1</v>
      </c>
      <c r="E40" s="10" t="n">
        <v>1</v>
      </c>
      <c r="F40" s="10" t="n">
        <v>0.5</v>
      </c>
      <c r="G40" s="10" t="n">
        <v>0.5</v>
      </c>
      <c r="H40" s="10" t="n">
        <v>1</v>
      </c>
      <c r="I40" s="10" t="n">
        <v>0</v>
      </c>
      <c r="J40" s="3" t="n">
        <f aca="false">IF(COUNT(B40:I40)=8,SUM(B40:I40),"")</f>
        <v>4.5</v>
      </c>
      <c r="K40" s="3" t="str">
        <f aca="false">IF(J40="","",IF(J40&gt;=5,"High",IF(J40&gt;=3.5,"Medium","Low")))</f>
        <v>Medium</v>
      </c>
    </row>
    <row r="41" customFormat="false" ht="15" hidden="false" customHeight="false" outlineLevel="0" collapsed="false">
      <c r="A41" s="3" t="str">
        <f aca="false">Studies!A41</f>
        <v>S040</v>
      </c>
      <c r="B41" s="10" t="n">
        <v>1</v>
      </c>
      <c r="C41" s="10" t="n">
        <v>0</v>
      </c>
      <c r="D41" s="10" t="n">
        <v>0</v>
      </c>
      <c r="E41" s="10" t="n">
        <v>1</v>
      </c>
      <c r="F41" s="10" t="n">
        <v>0.5</v>
      </c>
      <c r="G41" s="10" t="n">
        <v>0</v>
      </c>
      <c r="H41" s="10" t="n">
        <v>0</v>
      </c>
      <c r="I41" s="10" t="n">
        <v>0</v>
      </c>
      <c r="J41" s="3" t="n">
        <f aca="false">IF(COUNT(B41:I41)=8,SUM(B41:I41),"")</f>
        <v>2.5</v>
      </c>
      <c r="K41" s="3" t="str">
        <f aca="false">IF(J41="","",IF(J41&gt;=5,"High",IF(J41&gt;=3.5,"Medium","Low")))</f>
        <v>Low</v>
      </c>
    </row>
    <row r="42" customFormat="false" ht="15" hidden="false" customHeight="false" outlineLevel="0" collapsed="false">
      <c r="A42" s="3" t="str">
        <f aca="false">Studies!A42</f>
        <v>S041</v>
      </c>
      <c r="B42" s="10" t="n">
        <v>0.5</v>
      </c>
      <c r="C42" s="10" t="n">
        <v>0</v>
      </c>
      <c r="D42" s="10" t="n">
        <v>0</v>
      </c>
      <c r="E42" s="10" t="n">
        <v>0.5</v>
      </c>
      <c r="F42" s="10" t="n">
        <v>0.5</v>
      </c>
      <c r="G42" s="10" t="n">
        <v>0</v>
      </c>
      <c r="H42" s="10" t="n">
        <v>0</v>
      </c>
      <c r="I42" s="10" t="n">
        <v>0</v>
      </c>
      <c r="J42" s="3" t="n">
        <f aca="false">IF(COUNT(B42:I42)=8,SUM(B42:I42),"")</f>
        <v>1.5</v>
      </c>
      <c r="K42" s="3" t="str">
        <f aca="false">IF(J42="","",IF(J42&gt;=5,"High",IF(J42&gt;=3.5,"Medium","Low")))</f>
        <v>Low</v>
      </c>
    </row>
    <row r="43" customFormat="false" ht="15" hidden="false" customHeight="false" outlineLevel="0" collapsed="false">
      <c r="A43" s="3" t="str">
        <f aca="false">Studies!A43</f>
        <v>S042</v>
      </c>
      <c r="B43" s="10" t="n">
        <v>0.5</v>
      </c>
      <c r="C43" s="10" t="n">
        <v>0</v>
      </c>
      <c r="D43" s="10" t="n">
        <v>0</v>
      </c>
      <c r="E43" s="10" t="n">
        <v>0</v>
      </c>
      <c r="F43" s="10" t="n">
        <v>0</v>
      </c>
      <c r="G43" s="10" t="n">
        <v>0.5</v>
      </c>
      <c r="H43" s="10" t="n">
        <v>1</v>
      </c>
      <c r="I43" s="10" t="n">
        <v>0</v>
      </c>
      <c r="J43" s="3" t="n">
        <f aca="false">IF(COUNT(B43:I43)=8,SUM(B43:I43),"")</f>
        <v>2</v>
      </c>
      <c r="K43" s="3" t="str">
        <f aca="false">IF(J43="","",IF(J43&gt;=5,"High",IF(J43&gt;=3.5,"Medium","Low")))</f>
        <v>Low</v>
      </c>
    </row>
    <row r="44" customFormat="false" ht="15" hidden="false" customHeight="false" outlineLevel="0" collapsed="false">
      <c r="A44" s="3" t="str">
        <f aca="false">Studies!A44</f>
        <v>S043</v>
      </c>
      <c r="B44" s="10" t="n">
        <v>1</v>
      </c>
      <c r="C44" s="10" t="n">
        <v>0</v>
      </c>
      <c r="D44" s="10" t="n">
        <v>0</v>
      </c>
      <c r="E44" s="10" t="n">
        <v>1</v>
      </c>
      <c r="F44" s="10" t="n">
        <v>0</v>
      </c>
      <c r="G44" s="10" t="n">
        <v>1</v>
      </c>
      <c r="H44" s="10" t="n">
        <v>1</v>
      </c>
      <c r="I44" s="10" t="n">
        <v>0</v>
      </c>
      <c r="J44" s="3" t="n">
        <f aca="false">IF(COUNT(B44:I44)=8,SUM(B44:I44),"")</f>
        <v>4</v>
      </c>
      <c r="K44" s="3" t="str">
        <f aca="false">IF(J44="","",IF(J44&gt;=5,"High",IF(J44&gt;=3.5,"Medium","Low")))</f>
        <v>Medium</v>
      </c>
    </row>
    <row r="45" customFormat="false" ht="15" hidden="false" customHeight="false" outlineLevel="0" collapsed="false">
      <c r="A45" s="3" t="str">
        <f aca="false">Studies!A45</f>
        <v>S044</v>
      </c>
      <c r="B45" s="10" t="n">
        <v>1</v>
      </c>
      <c r="C45" s="10" t="n">
        <v>0</v>
      </c>
      <c r="D45" s="10" t="n">
        <v>1</v>
      </c>
      <c r="E45" s="10" t="n">
        <v>1</v>
      </c>
      <c r="F45" s="10" t="n">
        <v>0.5</v>
      </c>
      <c r="G45" s="10" t="n">
        <v>1</v>
      </c>
      <c r="H45" s="10" t="n">
        <v>0</v>
      </c>
      <c r="I45" s="10" t="n">
        <v>0</v>
      </c>
      <c r="J45" s="3" t="n">
        <f aca="false">IF(COUNT(B45:I45)=8,SUM(B45:I45),"")</f>
        <v>4.5</v>
      </c>
      <c r="K45" s="3" t="str">
        <f aca="false">IF(J45="","",IF(J45&gt;=5,"High",IF(J45&gt;=3.5,"Medium","Low")))</f>
        <v>Medium</v>
      </c>
    </row>
    <row r="46" customFormat="false" ht="15" hidden="false" customHeight="false" outlineLevel="0" collapsed="false">
      <c r="A46" s="3" t="str">
        <f aca="false">Studies!A46</f>
        <v>S045</v>
      </c>
      <c r="B46" s="10" t="n">
        <v>1</v>
      </c>
      <c r="C46" s="10" t="n">
        <v>0</v>
      </c>
      <c r="D46" s="10" t="n">
        <v>0.5</v>
      </c>
      <c r="E46" s="10" t="n">
        <v>0.5</v>
      </c>
      <c r="F46" s="10" t="n">
        <v>0.5</v>
      </c>
      <c r="G46" s="10" t="n">
        <v>1</v>
      </c>
      <c r="H46" s="10" t="n">
        <v>0</v>
      </c>
      <c r="I46" s="10" t="n">
        <v>0</v>
      </c>
      <c r="J46" s="3" t="n">
        <f aca="false">IF(COUNT(B46:I46)=8,SUM(B46:I46),"")</f>
        <v>3.5</v>
      </c>
      <c r="K46" s="3" t="str">
        <f aca="false">IF(J46="","",IF(J46&gt;=5,"High",IF(J46&gt;=3.5,"Medium","Low")))</f>
        <v>Medium</v>
      </c>
    </row>
    <row r="47" customFormat="false" ht="15" hidden="false" customHeight="false" outlineLevel="0" collapsed="false">
      <c r="A47" s="3" t="str">
        <f aca="false">Studies!A47</f>
        <v>S046</v>
      </c>
      <c r="B47" s="10" t="n">
        <v>1</v>
      </c>
      <c r="C47" s="10" t="n">
        <v>0</v>
      </c>
      <c r="D47" s="10" t="n">
        <v>0</v>
      </c>
      <c r="E47" s="10" t="n">
        <v>1</v>
      </c>
      <c r="F47" s="10" t="n">
        <v>0.5</v>
      </c>
      <c r="G47" s="10" t="n">
        <v>0.5</v>
      </c>
      <c r="H47" s="10" t="n">
        <v>0</v>
      </c>
      <c r="I47" s="10" t="n">
        <v>0</v>
      </c>
      <c r="J47" s="3" t="n">
        <f aca="false">IF(COUNT(B47:I47)=8,SUM(B47:I47),"")</f>
        <v>3</v>
      </c>
      <c r="K47" s="3" t="str">
        <f aca="false">IF(J47="","",IF(J47&gt;=5,"High",IF(J47&gt;=3.5,"Medium","Low")))</f>
        <v>Low</v>
      </c>
    </row>
    <row r="48" customFormat="false" ht="15" hidden="false" customHeight="false" outlineLevel="0" collapsed="false">
      <c r="A48" s="3" t="str">
        <f aca="false">Studies!A48</f>
        <v>S047</v>
      </c>
      <c r="B48" s="10" t="n">
        <v>0.5</v>
      </c>
      <c r="C48" s="10" t="n">
        <v>0</v>
      </c>
      <c r="D48" s="10" t="n">
        <v>1</v>
      </c>
      <c r="E48" s="10" t="n">
        <v>0.5</v>
      </c>
      <c r="F48" s="10" t="n">
        <v>0.5</v>
      </c>
      <c r="G48" s="10" t="n">
        <v>0.5</v>
      </c>
      <c r="H48" s="10" t="n">
        <v>1</v>
      </c>
      <c r="I48" s="10" t="n">
        <v>0</v>
      </c>
      <c r="J48" s="3" t="n">
        <f aca="false">IF(COUNT(B48:I48)=8,SUM(B48:I48),"")</f>
        <v>4</v>
      </c>
      <c r="K48" s="3" t="str">
        <f aca="false">IF(J48="","",IF(J48&gt;=5,"High",IF(J48&gt;=3.5,"Medium","Low")))</f>
        <v>Medium</v>
      </c>
    </row>
    <row r="49" customFormat="false" ht="15" hidden="false" customHeight="false" outlineLevel="0" collapsed="false">
      <c r="A49" s="3" t="str">
        <f aca="false">Studies!A49</f>
        <v>S048</v>
      </c>
      <c r="B49" s="10" t="n">
        <v>1</v>
      </c>
      <c r="C49" s="10" t="n">
        <v>0</v>
      </c>
      <c r="D49" s="10" t="n">
        <v>0</v>
      </c>
      <c r="E49" s="10" t="n">
        <v>1</v>
      </c>
      <c r="F49" s="10" t="n">
        <v>0.5</v>
      </c>
      <c r="G49" s="10" t="n">
        <v>1</v>
      </c>
      <c r="H49" s="10" t="n">
        <v>1</v>
      </c>
      <c r="I49" s="10" t="n">
        <v>1</v>
      </c>
      <c r="J49" s="3" t="n">
        <f aca="false">IF(COUNT(B49:I49)=8,SUM(B49:I49),"")</f>
        <v>5.5</v>
      </c>
      <c r="K49" s="3" t="str">
        <f aca="false">IF(J49="","",IF(J49&gt;=5,"High",IF(J49&gt;=3.5,"Medium","Low")))</f>
        <v>High</v>
      </c>
    </row>
    <row r="50" customFormat="false" ht="15" hidden="false" customHeight="false" outlineLevel="0" collapsed="false">
      <c r="A50" s="3" t="str">
        <f aca="false">Studies!A50</f>
        <v>S049</v>
      </c>
      <c r="B50" s="10" t="n">
        <v>1</v>
      </c>
      <c r="C50" s="10" t="n">
        <v>0</v>
      </c>
      <c r="D50" s="10" t="n">
        <v>1</v>
      </c>
      <c r="E50" s="10" t="n">
        <v>0.5</v>
      </c>
      <c r="F50" s="10" t="n">
        <v>0.5</v>
      </c>
      <c r="G50" s="10" t="n">
        <v>0.5</v>
      </c>
      <c r="H50" s="10" t="n">
        <v>1</v>
      </c>
      <c r="I50" s="10" t="n">
        <v>0</v>
      </c>
      <c r="J50" s="3" t="n">
        <f aca="false">IF(COUNT(B50:I50)=8,SUM(B50:I50),"")</f>
        <v>4.5</v>
      </c>
      <c r="K50" s="3" t="str">
        <f aca="false">IF(J50="","",IF(J50&gt;=5,"High",IF(J50&gt;=3.5,"Medium","Low")))</f>
        <v>Medium</v>
      </c>
    </row>
    <row r="51" customFormat="false" ht="15" hidden="false" customHeight="false" outlineLevel="0" collapsed="false">
      <c r="A51" s="3" t="str">
        <f aca="false">Studies!A51</f>
        <v>S050</v>
      </c>
      <c r="B51" s="10" t="n">
        <v>1</v>
      </c>
      <c r="C51" s="10" t="n">
        <v>1</v>
      </c>
      <c r="D51" s="10" t="n">
        <v>1</v>
      </c>
      <c r="E51" s="10" t="n">
        <v>0.5</v>
      </c>
      <c r="F51" s="10" t="n">
        <v>0.5</v>
      </c>
      <c r="G51" s="10" t="n">
        <v>1</v>
      </c>
      <c r="H51" s="10" t="n">
        <v>1</v>
      </c>
      <c r="I51" s="10" t="n">
        <v>0</v>
      </c>
      <c r="J51" s="3" t="n">
        <f aca="false">IF(COUNT(B51:I51)=8,SUM(B51:I51),"")</f>
        <v>6</v>
      </c>
      <c r="K51" s="3" t="str">
        <f aca="false">IF(J51="","",IF(J51&gt;=5,"High",IF(J51&gt;=3.5,"Medium","Low")))</f>
        <v>High</v>
      </c>
    </row>
    <row r="52" customFormat="false" ht="15" hidden="false" customHeight="false" outlineLevel="0" collapsed="false">
      <c r="A52" s="3" t="str">
        <f aca="false">Studies!A52</f>
        <v>S051</v>
      </c>
      <c r="B52" s="10" t="n">
        <v>0.5</v>
      </c>
      <c r="C52" s="10" t="n">
        <v>0</v>
      </c>
      <c r="D52" s="10" t="n">
        <v>1</v>
      </c>
      <c r="E52" s="10" t="n">
        <v>0.5</v>
      </c>
      <c r="F52" s="10" t="n">
        <v>0</v>
      </c>
      <c r="G52" s="10" t="n">
        <v>0.5</v>
      </c>
      <c r="H52" s="10" t="n">
        <v>0</v>
      </c>
      <c r="I52" s="10" t="n">
        <v>0</v>
      </c>
      <c r="J52" s="3" t="n">
        <f aca="false">IF(COUNT(B52:I52)=8,SUM(B52:I52),"")</f>
        <v>2.5</v>
      </c>
      <c r="K52" s="3" t="str">
        <f aca="false">IF(J52="","",IF(J52&gt;=5,"High",IF(J52&gt;=3.5,"Medium","Low")))</f>
        <v>Low</v>
      </c>
    </row>
    <row r="53" customFormat="false" ht="15" hidden="false" customHeight="false" outlineLevel="0" collapsed="false">
      <c r="A53" s="3" t="str">
        <f aca="false">Studies!A53</f>
        <v>S052</v>
      </c>
      <c r="B53" s="10" t="n">
        <v>0.5</v>
      </c>
      <c r="C53" s="10" t="n">
        <v>0</v>
      </c>
      <c r="D53" s="10" t="n">
        <v>0.5</v>
      </c>
      <c r="E53" s="10" t="n">
        <v>0.5</v>
      </c>
      <c r="F53" s="10" t="n">
        <v>0.5</v>
      </c>
      <c r="G53" s="10" t="n">
        <v>0.5</v>
      </c>
      <c r="H53" s="10" t="n">
        <v>0</v>
      </c>
      <c r="I53" s="10" t="n">
        <v>0</v>
      </c>
      <c r="J53" s="3" t="n">
        <f aca="false">IF(COUNT(B53:I53)=8,SUM(B53:I53),"")</f>
        <v>2.5</v>
      </c>
      <c r="K53" s="3" t="str">
        <f aca="false">IF(J53="","",IF(J53&gt;=5,"High",IF(J53&gt;=3.5,"Medium","Low")))</f>
        <v>Low</v>
      </c>
    </row>
    <row r="54" customFormat="false" ht="15" hidden="false" customHeight="false" outlineLevel="0" collapsed="false">
      <c r="A54" s="3" t="str">
        <f aca="false">Studies!A54</f>
        <v>S053</v>
      </c>
      <c r="B54" s="10" t="n">
        <v>1</v>
      </c>
      <c r="C54" s="10" t="n">
        <v>0</v>
      </c>
      <c r="D54" s="10" t="n">
        <v>1</v>
      </c>
      <c r="E54" s="10" t="n">
        <v>1</v>
      </c>
      <c r="F54" s="10" t="n">
        <v>0</v>
      </c>
      <c r="G54" s="10" t="n">
        <v>1</v>
      </c>
      <c r="H54" s="10" t="n">
        <v>1</v>
      </c>
      <c r="I54" s="10" t="n">
        <v>0</v>
      </c>
      <c r="J54" s="3" t="n">
        <f aca="false">IF(COUNT(B54:I54)=8,SUM(B54:I54),"")</f>
        <v>5</v>
      </c>
      <c r="K54" s="3" t="str">
        <f aca="false">IF(J54="","",IF(J54&gt;=5,"High",IF(J54&gt;=3.5,"Medium","Low")))</f>
        <v>High</v>
      </c>
    </row>
    <row r="55" customFormat="false" ht="15" hidden="false" customHeight="false" outlineLevel="0" collapsed="false">
      <c r="A55" s="3" t="str">
        <f aca="false">Studies!A55</f>
        <v>S054</v>
      </c>
      <c r="B55" s="10" t="n">
        <v>0.5</v>
      </c>
      <c r="C55" s="10" t="n">
        <v>0</v>
      </c>
      <c r="D55" s="10" t="n">
        <v>0</v>
      </c>
      <c r="E55" s="10" t="n">
        <v>1</v>
      </c>
      <c r="F55" s="10" t="n">
        <v>0</v>
      </c>
      <c r="G55" s="10" t="n">
        <v>0.5</v>
      </c>
      <c r="H55" s="10" t="n">
        <v>0</v>
      </c>
      <c r="I55" s="10" t="n">
        <v>0</v>
      </c>
      <c r="J55" s="3" t="n">
        <f aca="false">IF(COUNT(B55:I55)=8,SUM(B55:I55),"")</f>
        <v>2</v>
      </c>
      <c r="K55" s="3" t="str">
        <f aca="false">IF(J55="","",IF(J55&gt;=5,"High",IF(J55&gt;=3.5,"Medium","Low")))</f>
        <v>Low</v>
      </c>
    </row>
    <row r="56" customFormat="false" ht="15" hidden="false" customHeight="false" outlineLevel="0" collapsed="false">
      <c r="A56" s="3" t="str">
        <f aca="false">Studies!A56</f>
        <v>S055</v>
      </c>
      <c r="B56" s="10" t="n">
        <v>1</v>
      </c>
      <c r="C56" s="10" t="n">
        <v>1</v>
      </c>
      <c r="D56" s="10" t="n">
        <v>1</v>
      </c>
      <c r="E56" s="10" t="n">
        <v>1</v>
      </c>
      <c r="F56" s="10" t="n">
        <v>0.5</v>
      </c>
      <c r="G56" s="10" t="n">
        <v>1</v>
      </c>
      <c r="H56" s="10" t="n">
        <v>1</v>
      </c>
      <c r="I56" s="10" t="n">
        <v>0</v>
      </c>
      <c r="J56" s="3" t="n">
        <f aca="false">IF(COUNT(B56:I56)=8,SUM(B56:I56),"")</f>
        <v>6.5</v>
      </c>
      <c r="K56" s="3" t="str">
        <f aca="false">IF(J56="","",IF(J56&gt;=5,"High",IF(J56&gt;=3.5,"Medium","Low")))</f>
        <v>High</v>
      </c>
    </row>
    <row r="57" customFormat="false" ht="15" hidden="false" customHeight="false" outlineLevel="0" collapsed="false">
      <c r="A57" s="3" t="str">
        <f aca="false">Studies!A57</f>
        <v>S056</v>
      </c>
      <c r="B57" s="10" t="n">
        <v>0.5</v>
      </c>
      <c r="C57" s="10" t="n">
        <v>0</v>
      </c>
      <c r="D57" s="10" t="n">
        <v>0</v>
      </c>
      <c r="E57" s="10" t="n">
        <v>0</v>
      </c>
      <c r="F57" s="10" t="n">
        <v>0.5</v>
      </c>
      <c r="G57" s="10" t="n">
        <v>0</v>
      </c>
      <c r="H57" s="10" t="n">
        <v>1</v>
      </c>
      <c r="I57" s="10" t="n">
        <v>0</v>
      </c>
      <c r="J57" s="3" t="n">
        <f aca="false">IF(COUNT(B57:I57)=8,SUM(B57:I57),"")</f>
        <v>2</v>
      </c>
      <c r="K57" s="3" t="str">
        <f aca="false">IF(J57="","",IF(J57&gt;=5,"High",IF(J57&gt;=3.5,"Medium","Low")))</f>
        <v>Low</v>
      </c>
    </row>
    <row r="58" customFormat="false" ht="15" hidden="false" customHeight="false" outlineLevel="0" collapsed="false">
      <c r="A58" s="3" t="str">
        <f aca="false">Studies!A58</f>
        <v>S057</v>
      </c>
      <c r="B58" s="10" t="n">
        <v>0.5</v>
      </c>
      <c r="C58" s="10" t="n">
        <v>0</v>
      </c>
      <c r="D58" s="10" t="n">
        <v>0</v>
      </c>
      <c r="E58" s="10" t="n">
        <v>0</v>
      </c>
      <c r="F58" s="10" t="n">
        <v>0.5</v>
      </c>
      <c r="G58" s="10" t="n">
        <v>0.5</v>
      </c>
      <c r="H58" s="10" t="n">
        <v>0</v>
      </c>
      <c r="I58" s="10" t="n">
        <v>0</v>
      </c>
      <c r="J58" s="3" t="n">
        <f aca="false">IF(COUNT(B58:I58)=8,SUM(B58:I58),"")</f>
        <v>1.5</v>
      </c>
      <c r="K58" s="3" t="str">
        <f aca="false">IF(J58="","",IF(J58&gt;=5,"High",IF(J58&gt;=3.5,"Medium","Low")))</f>
        <v>Low</v>
      </c>
    </row>
    <row r="59" customFormat="false" ht="15" hidden="false" customHeight="false" outlineLevel="0" collapsed="false">
      <c r="A59" s="3" t="str">
        <f aca="false">Studies!A59</f>
        <v>S058</v>
      </c>
      <c r="B59" s="10" t="n">
        <v>0.5</v>
      </c>
      <c r="C59" s="10" t="n">
        <v>0</v>
      </c>
      <c r="D59" s="10" t="n">
        <v>0</v>
      </c>
      <c r="E59" s="10" t="n">
        <v>1</v>
      </c>
      <c r="F59" s="10" t="n">
        <v>0</v>
      </c>
      <c r="G59" s="10" t="n">
        <v>1</v>
      </c>
      <c r="H59" s="10" t="n">
        <v>0</v>
      </c>
      <c r="I59" s="10" t="n">
        <v>0</v>
      </c>
      <c r="J59" s="3" t="n">
        <f aca="false">IF(COUNT(B59:I59)=8,SUM(B59:I59),"")</f>
        <v>2.5</v>
      </c>
      <c r="K59" s="3" t="str">
        <f aca="false">IF(J59="","",IF(J59&gt;=5,"High",IF(J59&gt;=3.5,"Medium","Low")))</f>
        <v>Low</v>
      </c>
    </row>
    <row r="60" customFormat="false" ht="15" hidden="false" customHeight="false" outlineLevel="0" collapsed="false">
      <c r="A60" s="3" t="str">
        <f aca="false">Studies!A60</f>
        <v>S059</v>
      </c>
      <c r="B60" s="10" t="n">
        <v>0.5</v>
      </c>
      <c r="C60" s="10" t="n">
        <v>0</v>
      </c>
      <c r="D60" s="10" t="n">
        <v>1</v>
      </c>
      <c r="E60" s="10" t="n">
        <v>0.5</v>
      </c>
      <c r="F60" s="10" t="n">
        <v>0</v>
      </c>
      <c r="G60" s="10" t="n">
        <v>0.5</v>
      </c>
      <c r="H60" s="10" t="n">
        <v>0</v>
      </c>
      <c r="I60" s="10" t="n">
        <v>0</v>
      </c>
      <c r="J60" s="3" t="n">
        <f aca="false">IF(COUNT(B60:I60)=8,SUM(B60:I60),"")</f>
        <v>2.5</v>
      </c>
      <c r="K60" s="3" t="str">
        <f aca="false">IF(J60="","",IF(J60&gt;=5,"High",IF(J60&gt;=3.5,"Medium","Low")))</f>
        <v>Low</v>
      </c>
    </row>
    <row r="61" customFormat="false" ht="15" hidden="false" customHeight="false" outlineLevel="0" collapsed="false">
      <c r="A61" s="3" t="str">
        <f aca="false">Studies!A61</f>
        <v>S060</v>
      </c>
      <c r="B61" s="10" t="n">
        <v>0.5</v>
      </c>
      <c r="C61" s="10" t="n">
        <v>0</v>
      </c>
      <c r="D61" s="10" t="n">
        <v>0</v>
      </c>
      <c r="E61" s="10" t="n">
        <v>0</v>
      </c>
      <c r="F61" s="10" t="n">
        <v>0</v>
      </c>
      <c r="G61" s="10" t="n">
        <v>0</v>
      </c>
      <c r="H61" s="10" t="n">
        <v>0</v>
      </c>
      <c r="I61" s="10" t="n">
        <v>0</v>
      </c>
      <c r="J61" s="3" t="n">
        <f aca="false">IF(COUNT(B61:I61)=8,SUM(B61:I61),"")</f>
        <v>0.5</v>
      </c>
      <c r="K61" s="3" t="str">
        <f aca="false">IF(J61="","",IF(J61&gt;=5,"High",IF(J61&gt;=3.5,"Medium","Low")))</f>
        <v>Low</v>
      </c>
    </row>
    <row r="62" customFormat="false" ht="15" hidden="false" customHeight="false" outlineLevel="0" collapsed="false">
      <c r="A62" s="3" t="str">
        <f aca="false">Studies!A62</f>
        <v>S061</v>
      </c>
      <c r="B62" s="10" t="n">
        <v>0.5</v>
      </c>
      <c r="C62" s="10" t="n">
        <v>0</v>
      </c>
      <c r="D62" s="10" t="n">
        <v>1</v>
      </c>
      <c r="E62" s="10" t="n">
        <v>1</v>
      </c>
      <c r="F62" s="10" t="n">
        <v>0.5</v>
      </c>
      <c r="G62" s="10" t="n">
        <v>1</v>
      </c>
      <c r="H62" s="10" t="n">
        <v>0</v>
      </c>
      <c r="I62" s="10" t="n">
        <v>0</v>
      </c>
      <c r="J62" s="3" t="n">
        <f aca="false">IF(COUNT(B62:I62)=8,SUM(B62:I62),"")</f>
        <v>4</v>
      </c>
      <c r="K62" s="3" t="str">
        <f aca="false">IF(J62="","",IF(J62&gt;=5,"High",IF(J62&gt;=3.5,"Medium","Low")))</f>
        <v>Medium</v>
      </c>
    </row>
    <row r="63" customFormat="false" ht="15" hidden="false" customHeight="false" outlineLevel="0" collapsed="false">
      <c r="A63" s="3" t="str">
        <f aca="false">Studies!A63</f>
        <v>S062</v>
      </c>
      <c r="B63" s="10" t="n">
        <v>1</v>
      </c>
      <c r="C63" s="10" t="n">
        <v>0</v>
      </c>
      <c r="D63" s="10" t="n">
        <v>1</v>
      </c>
      <c r="E63" s="10" t="n">
        <v>0.5</v>
      </c>
      <c r="F63" s="10" t="n">
        <v>1</v>
      </c>
      <c r="G63" s="10" t="n">
        <v>1</v>
      </c>
      <c r="H63" s="10" t="n">
        <v>1</v>
      </c>
      <c r="I63" s="10" t="n">
        <v>0</v>
      </c>
      <c r="J63" s="3" t="n">
        <f aca="false">IF(COUNT(B63:I63)=8,SUM(B63:I63),"")</f>
        <v>5.5</v>
      </c>
      <c r="K63" s="3" t="str">
        <f aca="false">IF(J63="","",IF(J63&gt;=5,"High",IF(J63&gt;=3.5,"Medium","Low")))</f>
        <v>High</v>
      </c>
    </row>
    <row r="64" customFormat="false" ht="15" hidden="false" customHeight="false" outlineLevel="0" collapsed="false">
      <c r="A64" s="3" t="str">
        <f aca="false">Studies!A64</f>
        <v>S063</v>
      </c>
      <c r="B64" s="10" t="n">
        <v>0.5</v>
      </c>
      <c r="C64" s="10" t="n">
        <v>0</v>
      </c>
      <c r="D64" s="10" t="n">
        <v>0.5</v>
      </c>
      <c r="E64" s="10" t="n">
        <v>0.5</v>
      </c>
      <c r="F64" s="10" t="n">
        <v>0.5</v>
      </c>
      <c r="G64" s="10" t="n">
        <v>0.5</v>
      </c>
      <c r="H64" s="10" t="n">
        <v>0</v>
      </c>
      <c r="I64" s="10" t="n">
        <v>0</v>
      </c>
      <c r="J64" s="3" t="n">
        <f aca="false">IF(COUNT(B64:I64)=8,SUM(B64:I64),"")</f>
        <v>2.5</v>
      </c>
      <c r="K64" s="3" t="str">
        <f aca="false">IF(J64="","",IF(J64&gt;=5,"High",IF(J64&gt;=3.5,"Medium","Low")))</f>
        <v>Low</v>
      </c>
    </row>
    <row r="65" customFormat="false" ht="15" hidden="false" customHeight="false" outlineLevel="0" collapsed="false">
      <c r="A65" s="3" t="str">
        <f aca="false">Studies!A65</f>
        <v>S064</v>
      </c>
      <c r="B65" s="10" t="n">
        <v>1</v>
      </c>
      <c r="C65" s="10" t="n">
        <v>0</v>
      </c>
      <c r="D65" s="10" t="n">
        <v>0.5</v>
      </c>
      <c r="E65" s="10" t="n">
        <v>0.5</v>
      </c>
      <c r="F65" s="10" t="n">
        <v>0.5</v>
      </c>
      <c r="G65" s="10" t="n">
        <v>0</v>
      </c>
      <c r="H65" s="10" t="n">
        <v>0</v>
      </c>
      <c r="I65" s="10" t="n">
        <v>0</v>
      </c>
      <c r="J65" s="3" t="n">
        <f aca="false">IF(COUNT(B65:I65)=8,SUM(B65:I65),"")</f>
        <v>2.5</v>
      </c>
      <c r="K65" s="3" t="str">
        <f aca="false">IF(J65="","",IF(J65&gt;=5,"High",IF(J65&gt;=3.5,"Medium","Low")))</f>
        <v>Low</v>
      </c>
    </row>
    <row r="66" customFormat="false" ht="15" hidden="false" customHeight="false" outlineLevel="0" collapsed="false">
      <c r="A66" s="3" t="str">
        <f aca="false">Studies!A66</f>
        <v>S065</v>
      </c>
      <c r="B66" s="10" t="n">
        <v>1</v>
      </c>
      <c r="C66" s="10" t="n">
        <v>0</v>
      </c>
      <c r="D66" s="10" t="n">
        <v>1</v>
      </c>
      <c r="E66" s="10" t="n">
        <v>1</v>
      </c>
      <c r="F66" s="10" t="n">
        <v>1</v>
      </c>
      <c r="G66" s="10" t="n">
        <v>1</v>
      </c>
      <c r="H66" s="10" t="n">
        <v>1</v>
      </c>
      <c r="I66" s="10" t="n">
        <v>0</v>
      </c>
      <c r="J66" s="3" t="n">
        <f aca="false">IF(COUNT(B66:I66)=8,SUM(B66:I66),"")</f>
        <v>6</v>
      </c>
      <c r="K66" s="3" t="str">
        <f aca="false">IF(J66="","",IF(J66&gt;=5,"High",IF(J66&gt;=3.5,"Medium","Low")))</f>
        <v>High</v>
      </c>
    </row>
    <row r="67" customFormat="false" ht="15" hidden="false" customHeight="false" outlineLevel="0" collapsed="false">
      <c r="A67" s="3" t="str">
        <f aca="false">Studies!A67</f>
        <v>S066</v>
      </c>
      <c r="B67" s="10" t="n">
        <v>0.5</v>
      </c>
      <c r="C67" s="10" t="n">
        <v>0</v>
      </c>
      <c r="D67" s="10" t="n">
        <v>1</v>
      </c>
      <c r="E67" s="10" t="n">
        <v>1</v>
      </c>
      <c r="F67" s="10" t="n">
        <v>0</v>
      </c>
      <c r="G67" s="10" t="n">
        <v>0.5</v>
      </c>
      <c r="H67" s="10" t="n">
        <v>0</v>
      </c>
      <c r="I67" s="10" t="n">
        <v>0</v>
      </c>
      <c r="J67" s="3" t="n">
        <f aca="false">IF(COUNT(B67:I67)=8,SUM(B67:I67),"")</f>
        <v>3</v>
      </c>
      <c r="K67" s="3" t="str">
        <f aca="false">IF(J67="","",IF(J67&gt;=5,"High",IF(J67&gt;=3.5,"Medium","Low")))</f>
        <v>Low</v>
      </c>
    </row>
    <row r="68" customFormat="false" ht="15" hidden="false" customHeight="false" outlineLevel="0" collapsed="false">
      <c r="A68" s="3" t="str">
        <f aca="false">Studies!A68</f>
        <v>S067</v>
      </c>
      <c r="B68" s="10" t="n">
        <v>1</v>
      </c>
      <c r="C68" s="10" t="n">
        <v>0</v>
      </c>
      <c r="D68" s="10" t="n">
        <v>0</v>
      </c>
      <c r="E68" s="10" t="n">
        <v>1</v>
      </c>
      <c r="F68" s="10" t="n">
        <v>0.5</v>
      </c>
      <c r="G68" s="10" t="n">
        <v>0</v>
      </c>
      <c r="H68" s="10" t="n">
        <v>0</v>
      </c>
      <c r="I68" s="10" t="n">
        <v>0</v>
      </c>
      <c r="J68" s="3" t="n">
        <f aca="false">IF(COUNT(B68:I68)=8,SUM(B68:I68),"")</f>
        <v>2.5</v>
      </c>
      <c r="K68" s="3" t="str">
        <f aca="false">IF(J68="","",IF(J68&gt;=5,"High",IF(J68&gt;=3.5,"Medium","Low")))</f>
        <v>Low</v>
      </c>
    </row>
    <row r="69" customFormat="false" ht="15" hidden="false" customHeight="false" outlineLevel="0" collapsed="false">
      <c r="A69" s="3" t="str">
        <f aca="false">Studies!A69</f>
        <v>S068</v>
      </c>
      <c r="B69" s="10" t="n">
        <v>1</v>
      </c>
      <c r="C69" s="10" t="n">
        <v>0</v>
      </c>
      <c r="D69" s="10" t="n">
        <v>0</v>
      </c>
      <c r="E69" s="10" t="n">
        <v>0</v>
      </c>
      <c r="F69" s="10" t="n">
        <v>0.5</v>
      </c>
      <c r="G69" s="10" t="n">
        <v>0</v>
      </c>
      <c r="H69" s="10" t="n">
        <v>0</v>
      </c>
      <c r="I69" s="10" t="n">
        <v>0</v>
      </c>
      <c r="J69" s="3" t="n">
        <f aca="false">IF(COUNT(B69:I69)=8,SUM(B69:I69),"")</f>
        <v>1.5</v>
      </c>
      <c r="K69" s="3" t="str">
        <f aca="false">IF(J69="","",IF(J69&gt;=5,"High",IF(J69&gt;=3.5,"Medium","Low")))</f>
        <v>Low</v>
      </c>
    </row>
    <row r="70" customFormat="false" ht="15" hidden="false" customHeight="false" outlineLevel="0" collapsed="false">
      <c r="A70" s="3" t="str">
        <f aca="false">Studies!A70</f>
        <v>S069</v>
      </c>
      <c r="B70" s="10" t="n">
        <v>1</v>
      </c>
      <c r="C70" s="10" t="n">
        <v>0</v>
      </c>
      <c r="D70" s="10" t="n">
        <v>1</v>
      </c>
      <c r="E70" s="10" t="n">
        <v>1</v>
      </c>
      <c r="F70" s="10" t="n">
        <v>0.5</v>
      </c>
      <c r="G70" s="10" t="n">
        <v>0.5</v>
      </c>
      <c r="H70" s="10" t="n">
        <v>0</v>
      </c>
      <c r="I70" s="10" t="n">
        <v>0</v>
      </c>
      <c r="J70" s="3" t="n">
        <f aca="false">IF(COUNT(B70:I70)=8,SUM(B70:I70),"")</f>
        <v>4</v>
      </c>
      <c r="K70" s="3" t="str">
        <f aca="false">IF(J70="","",IF(J70&gt;=5,"High",IF(J70&gt;=3.5,"Medium","Low")))</f>
        <v>Medium</v>
      </c>
    </row>
    <row r="71" customFormat="false" ht="15" hidden="false" customHeight="false" outlineLevel="0" collapsed="false">
      <c r="A71" s="3" t="str">
        <f aca="false">Studies!A71</f>
        <v>S070</v>
      </c>
      <c r="B71" s="10" t="n">
        <v>0.5</v>
      </c>
      <c r="C71" s="10" t="n">
        <v>0</v>
      </c>
      <c r="D71" s="10" t="n">
        <v>0</v>
      </c>
      <c r="E71" s="10" t="n">
        <v>0.5</v>
      </c>
      <c r="F71" s="10" t="n">
        <v>0</v>
      </c>
      <c r="G71" s="10" t="n">
        <v>0</v>
      </c>
      <c r="H71" s="10" t="n">
        <v>0</v>
      </c>
      <c r="I71" s="10" t="n">
        <v>0</v>
      </c>
      <c r="J71" s="3" t="n">
        <f aca="false">IF(COUNT(B71:I71)=8,SUM(B71:I71),"")</f>
        <v>1</v>
      </c>
      <c r="K71" s="3" t="str">
        <f aca="false">IF(J71="","",IF(J71&gt;=5,"High",IF(J71&gt;=3.5,"Medium","Low")))</f>
        <v>Low</v>
      </c>
    </row>
    <row r="72" customFormat="false" ht="15" hidden="false" customHeight="false" outlineLevel="0" collapsed="false">
      <c r="A72" s="3" t="str">
        <f aca="false">Studies!A72</f>
        <v>S071</v>
      </c>
      <c r="B72" s="10" t="n">
        <v>1</v>
      </c>
      <c r="C72" s="10" t="n">
        <v>0</v>
      </c>
      <c r="D72" s="10" t="n">
        <v>1</v>
      </c>
      <c r="E72" s="10" t="n">
        <v>0.5</v>
      </c>
      <c r="F72" s="10" t="n">
        <v>0.5</v>
      </c>
      <c r="G72" s="10" t="n">
        <v>1</v>
      </c>
      <c r="H72" s="10" t="n">
        <v>1</v>
      </c>
      <c r="I72" s="10" t="n">
        <v>0</v>
      </c>
      <c r="J72" s="3" t="n">
        <f aca="false">IF(COUNT(B72:I72)=8,SUM(B72:I72),"")</f>
        <v>5</v>
      </c>
      <c r="K72" s="3" t="str">
        <f aca="false">IF(J72="","",IF(J72&gt;=5,"High",IF(J72&gt;=3.5,"Medium","Low")))</f>
        <v>High</v>
      </c>
    </row>
    <row r="73" customFormat="false" ht="15" hidden="false" customHeight="false" outlineLevel="0" collapsed="false">
      <c r="A73" s="3" t="str">
        <f aca="false">Studies!A73</f>
        <v>S072</v>
      </c>
      <c r="B73" s="10" t="n">
        <v>0.5</v>
      </c>
      <c r="C73" s="10" t="n">
        <v>0</v>
      </c>
      <c r="D73" s="10" t="n">
        <v>1</v>
      </c>
      <c r="E73" s="10" t="n">
        <v>0.5</v>
      </c>
      <c r="F73" s="10" t="n">
        <v>0</v>
      </c>
      <c r="G73" s="10" t="n">
        <v>0</v>
      </c>
      <c r="H73" s="10" t="n">
        <v>0</v>
      </c>
      <c r="I73" s="10" t="n">
        <v>0</v>
      </c>
      <c r="J73" s="3" t="n">
        <f aca="false">IF(COUNT(B73:I73)=8,SUM(B73:I73),"")</f>
        <v>2</v>
      </c>
      <c r="K73" s="3" t="str">
        <f aca="false">IF(J73="","",IF(J73&gt;=5,"High",IF(J73&gt;=3.5,"Medium","Low")))</f>
        <v>Low</v>
      </c>
    </row>
    <row r="74" customFormat="false" ht="15" hidden="false" customHeight="false" outlineLevel="0" collapsed="false">
      <c r="A74" s="3" t="str">
        <f aca="false">Studies!A74</f>
        <v>S073</v>
      </c>
      <c r="B74" s="10" t="n">
        <v>1</v>
      </c>
      <c r="C74" s="10" t="n">
        <v>0</v>
      </c>
      <c r="D74" s="10" t="n">
        <v>1</v>
      </c>
      <c r="E74" s="10" t="n">
        <v>0.5</v>
      </c>
      <c r="F74" s="10" t="n">
        <v>0.5</v>
      </c>
      <c r="G74" s="10" t="n">
        <v>1</v>
      </c>
      <c r="H74" s="10" t="n">
        <v>1</v>
      </c>
      <c r="I74" s="10" t="n">
        <v>0</v>
      </c>
      <c r="J74" s="3" t="n">
        <f aca="false">IF(COUNT(B74:I74)=8,SUM(B74:I74),"")</f>
        <v>5</v>
      </c>
      <c r="K74" s="3" t="str">
        <f aca="false">IF(J74="","",IF(J74&gt;=5,"High",IF(J74&gt;=3.5,"Medium","Low")))</f>
        <v>High</v>
      </c>
    </row>
    <row r="75" customFormat="false" ht="15" hidden="false" customHeight="false" outlineLevel="0" collapsed="false">
      <c r="A75" s="3" t="str">
        <f aca="false">Studies!A75</f>
        <v>S074</v>
      </c>
      <c r="B75" s="10" t="n">
        <v>1</v>
      </c>
      <c r="C75" s="10" t="n">
        <v>0</v>
      </c>
      <c r="D75" s="10" t="n">
        <v>0.5</v>
      </c>
      <c r="E75" s="10" t="n">
        <v>1</v>
      </c>
      <c r="F75" s="10" t="n">
        <v>0.5</v>
      </c>
      <c r="G75" s="10" t="n">
        <v>0.5</v>
      </c>
      <c r="H75" s="10" t="n">
        <v>0</v>
      </c>
      <c r="I75" s="10" t="n">
        <v>0</v>
      </c>
      <c r="J75" s="3" t="n">
        <f aca="false">IF(COUNT(B75:I75)=8,SUM(B75:I75),"")</f>
        <v>3.5</v>
      </c>
      <c r="K75" s="3" t="str">
        <f aca="false">IF(J75="","",IF(J75&gt;=5,"High",IF(J75&gt;=3.5,"Medium","Low")))</f>
        <v>Medium</v>
      </c>
    </row>
    <row r="76" customFormat="false" ht="15" hidden="false" customHeight="false" outlineLevel="0" collapsed="false">
      <c r="A76" s="3" t="str">
        <f aca="false">Studies!A76</f>
        <v>S075</v>
      </c>
      <c r="B76" s="10" t="n">
        <v>1</v>
      </c>
      <c r="C76" s="10" t="n">
        <v>0</v>
      </c>
      <c r="D76" s="10" t="n">
        <v>1</v>
      </c>
      <c r="E76" s="10" t="n">
        <v>0.5</v>
      </c>
      <c r="F76" s="10" t="n">
        <v>1</v>
      </c>
      <c r="G76" s="10" t="n">
        <v>1</v>
      </c>
      <c r="H76" s="10" t="n">
        <v>1</v>
      </c>
      <c r="I76" s="10" t="n">
        <v>0</v>
      </c>
      <c r="J76" s="3" t="n">
        <f aca="false">IF(COUNT(B76:I76)=8,SUM(B76:I76),"")</f>
        <v>5.5</v>
      </c>
      <c r="K76" s="3" t="str">
        <f aca="false">IF(J76="","",IF(J76&gt;=5,"High",IF(J76&gt;=3.5,"Medium","Low")))</f>
        <v>High</v>
      </c>
    </row>
    <row r="77" customFormat="false" ht="15" hidden="false" customHeight="false" outlineLevel="0" collapsed="false">
      <c r="A77" s="3" t="str">
        <f aca="false">Studies!A77</f>
        <v>S076</v>
      </c>
      <c r="B77" s="10" t="n">
        <v>1</v>
      </c>
      <c r="C77" s="10" t="n">
        <v>0</v>
      </c>
      <c r="D77" s="10" t="n">
        <v>1</v>
      </c>
      <c r="E77" s="10" t="n">
        <v>1</v>
      </c>
      <c r="F77" s="10" t="n">
        <v>0</v>
      </c>
      <c r="G77" s="10" t="n">
        <v>1</v>
      </c>
      <c r="H77" s="10" t="n">
        <v>1</v>
      </c>
      <c r="I77" s="10" t="n">
        <v>0</v>
      </c>
      <c r="J77" s="3" t="n">
        <f aca="false">IF(COUNT(B77:I77)=8,SUM(B77:I77),"")</f>
        <v>5</v>
      </c>
      <c r="K77" s="3" t="str">
        <f aca="false">IF(J77="","",IF(J77&gt;=5,"High",IF(J77&gt;=3.5,"Medium","Low")))</f>
        <v>High</v>
      </c>
    </row>
    <row r="78" customFormat="false" ht="15" hidden="false" customHeight="false" outlineLevel="0" collapsed="false">
      <c r="A78" s="3" t="str">
        <f aca="false">Studies!A78</f>
        <v>S077</v>
      </c>
      <c r="B78" s="10" t="n">
        <v>1</v>
      </c>
      <c r="C78" s="10" t="n">
        <v>0</v>
      </c>
      <c r="D78" s="10" t="n">
        <v>0.5</v>
      </c>
      <c r="E78" s="10" t="n">
        <v>1</v>
      </c>
      <c r="F78" s="10" t="n">
        <v>0.5</v>
      </c>
      <c r="G78" s="10" t="n">
        <v>1</v>
      </c>
      <c r="H78" s="10" t="n">
        <v>1</v>
      </c>
      <c r="I78" s="10" t="n">
        <v>0</v>
      </c>
      <c r="J78" s="3" t="n">
        <f aca="false">IF(COUNT(B78:I78)=8,SUM(B78:I78),"")</f>
        <v>5</v>
      </c>
      <c r="K78" s="3" t="str">
        <f aca="false">IF(J78="","",IF(J78&gt;=5,"High",IF(J78&gt;=3.5,"Medium","Low")))</f>
        <v>High</v>
      </c>
    </row>
    <row r="79" customFormat="false" ht="15" hidden="false" customHeight="false" outlineLevel="0" collapsed="false">
      <c r="A79" s="3" t="str">
        <f aca="false">Studies!A79</f>
        <v>S078</v>
      </c>
      <c r="B79" s="10" t="n">
        <v>1</v>
      </c>
      <c r="C79" s="10" t="n">
        <v>0</v>
      </c>
      <c r="D79" s="10" t="n">
        <v>0</v>
      </c>
      <c r="E79" s="10" t="n">
        <v>1</v>
      </c>
      <c r="F79" s="10" t="n">
        <v>1</v>
      </c>
      <c r="G79" s="10" t="n">
        <v>1</v>
      </c>
      <c r="H79" s="10" t="n">
        <v>1</v>
      </c>
      <c r="I79" s="10" t="n">
        <v>0</v>
      </c>
      <c r="J79" s="3" t="n">
        <f aca="false">IF(COUNT(B79:I79)=8,SUM(B79:I79),"")</f>
        <v>5</v>
      </c>
      <c r="K79" s="3" t="str">
        <f aca="false">IF(J79="","",IF(J79&gt;=5,"High",IF(J79&gt;=3.5,"Medium","Low")))</f>
        <v>High</v>
      </c>
    </row>
    <row r="80" customFormat="false" ht="15" hidden="false" customHeight="false" outlineLevel="0" collapsed="false">
      <c r="A80" s="3" t="str">
        <f aca="false">Studies!A80</f>
        <v>S079</v>
      </c>
      <c r="B80" s="10" t="n">
        <v>1</v>
      </c>
      <c r="C80" s="10" t="n">
        <v>0</v>
      </c>
      <c r="D80" s="10" t="n">
        <v>0.5</v>
      </c>
      <c r="E80" s="10" t="n">
        <v>0.5</v>
      </c>
      <c r="F80" s="10" t="n">
        <v>0.5</v>
      </c>
      <c r="G80" s="10" t="n">
        <v>0</v>
      </c>
      <c r="H80" s="10" t="n">
        <v>0</v>
      </c>
      <c r="I80" s="10" t="n">
        <v>0</v>
      </c>
      <c r="J80" s="3" t="n">
        <f aca="false">IF(COUNT(B80:I80)=8,SUM(B80:I80),"")</f>
        <v>2.5</v>
      </c>
      <c r="K80" s="3" t="str">
        <f aca="false">IF(J80="","",IF(J80&gt;=5,"High",IF(J80&gt;=3.5,"Medium","Low")))</f>
        <v>Low</v>
      </c>
    </row>
    <row r="81" customFormat="false" ht="15" hidden="false" customHeight="false" outlineLevel="0" collapsed="false">
      <c r="A81" s="3" t="str">
        <f aca="false">Studies!A81</f>
        <v>S080</v>
      </c>
      <c r="B81" s="10" t="n">
        <v>0.5</v>
      </c>
      <c r="C81" s="10" t="n">
        <v>0</v>
      </c>
      <c r="D81" s="10" t="n">
        <v>0</v>
      </c>
      <c r="E81" s="10" t="n">
        <v>0.5</v>
      </c>
      <c r="F81" s="10" t="n">
        <v>0.5</v>
      </c>
      <c r="G81" s="10" t="n">
        <v>0.5</v>
      </c>
      <c r="H81" s="10" t="n">
        <v>1</v>
      </c>
      <c r="I81" s="10" t="n">
        <v>0</v>
      </c>
      <c r="J81" s="3" t="n">
        <f aca="false">IF(COUNT(B81:I81)=8,SUM(B81:I81),"")</f>
        <v>3</v>
      </c>
      <c r="K81" s="3" t="str">
        <f aca="false">IF(J81="","",IF(J81&gt;=5,"High",IF(J81&gt;=3.5,"Medium","Low")))</f>
        <v>Low</v>
      </c>
    </row>
    <row r="82" customFormat="false" ht="15" hidden="false" customHeight="false" outlineLevel="0" collapsed="false">
      <c r="A82" s="3" t="str">
        <f aca="false">Studies!A82</f>
        <v>S081</v>
      </c>
      <c r="B82" s="10" t="n">
        <v>0.5</v>
      </c>
      <c r="C82" s="10" t="n">
        <v>1</v>
      </c>
      <c r="D82" s="10" t="n">
        <v>0.5</v>
      </c>
      <c r="E82" s="10" t="n">
        <v>1</v>
      </c>
      <c r="F82" s="10" t="n">
        <v>0.5</v>
      </c>
      <c r="G82" s="10" t="n">
        <v>1</v>
      </c>
      <c r="H82" s="10" t="n">
        <v>0</v>
      </c>
      <c r="I82" s="10" t="n">
        <v>0</v>
      </c>
      <c r="J82" s="3" t="n">
        <f aca="false">IF(COUNT(B82:I82)=8,SUM(B82:I82),"")</f>
        <v>4.5</v>
      </c>
      <c r="K82" s="3" t="str">
        <f aca="false">IF(J82="","",IF(J82&gt;=5,"High",IF(J82&gt;=3.5,"Medium","Low")))</f>
        <v>Medium</v>
      </c>
    </row>
    <row r="83" customFormat="false" ht="15" hidden="false" customHeight="false" outlineLevel="0" collapsed="false">
      <c r="A83" s="3" t="str">
        <f aca="false">Studies!A83</f>
        <v>S082</v>
      </c>
      <c r="B83" s="10" t="n">
        <v>0.5</v>
      </c>
      <c r="C83" s="10" t="n">
        <v>0</v>
      </c>
      <c r="D83" s="10" t="n">
        <v>0.5</v>
      </c>
      <c r="E83" s="10" t="n">
        <v>0.5</v>
      </c>
      <c r="F83" s="10" t="n">
        <v>1</v>
      </c>
      <c r="G83" s="10" t="n">
        <v>0.5</v>
      </c>
      <c r="H83" s="10" t="n">
        <v>0</v>
      </c>
      <c r="I83" s="10" t="n">
        <v>0</v>
      </c>
      <c r="J83" s="3" t="n">
        <f aca="false">IF(COUNT(B83:I83)=8,SUM(B83:I83),"")</f>
        <v>3</v>
      </c>
      <c r="K83" s="3" t="str">
        <f aca="false">IF(J83="","",IF(J83&gt;=5,"High",IF(J83&gt;=3.5,"Medium","Low")))</f>
        <v>Low</v>
      </c>
    </row>
    <row r="84" customFormat="false" ht="15" hidden="false" customHeight="false" outlineLevel="0" collapsed="false">
      <c r="A84" s="3" t="str">
        <f aca="false">Studies!A84</f>
        <v>S083</v>
      </c>
      <c r="B84" s="10" t="n">
        <v>1</v>
      </c>
      <c r="C84" s="10" t="n">
        <v>0</v>
      </c>
      <c r="D84" s="10" t="n">
        <v>1</v>
      </c>
      <c r="E84" s="10" t="n">
        <v>1</v>
      </c>
      <c r="F84" s="10" t="n">
        <v>1</v>
      </c>
      <c r="G84" s="10" t="n">
        <v>1</v>
      </c>
      <c r="H84" s="10" t="n">
        <v>0</v>
      </c>
      <c r="I84" s="10" t="n">
        <v>0</v>
      </c>
      <c r="J84" s="3" t="n">
        <f aca="false">IF(COUNT(B84:I84)=8,SUM(B84:I84),"")</f>
        <v>5</v>
      </c>
      <c r="K84" s="3" t="str">
        <f aca="false">IF(J84="","",IF(J84&gt;=5,"High",IF(J84&gt;=3.5,"Medium","Low")))</f>
        <v>High</v>
      </c>
    </row>
    <row r="85" customFormat="false" ht="15" hidden="false" customHeight="false" outlineLevel="0" collapsed="false">
      <c r="A85" s="3" t="str">
        <f aca="false">Studies!A85</f>
        <v>S084</v>
      </c>
      <c r="B85" s="10" t="n">
        <v>1</v>
      </c>
      <c r="C85" s="10" t="n">
        <v>0</v>
      </c>
      <c r="D85" s="10" t="n">
        <v>0.5</v>
      </c>
      <c r="E85" s="10" t="n">
        <v>1</v>
      </c>
      <c r="F85" s="10" t="n">
        <v>0.5</v>
      </c>
      <c r="G85" s="10" t="n">
        <v>1</v>
      </c>
      <c r="H85" s="10" t="n">
        <v>1</v>
      </c>
      <c r="I85" s="10" t="n">
        <v>0</v>
      </c>
      <c r="J85" s="3" t="n">
        <f aca="false">IF(COUNT(B85:I85)=8,SUM(B85:I85),"")</f>
        <v>5</v>
      </c>
      <c r="K85" s="3" t="str">
        <f aca="false">IF(J85="","",IF(J85&gt;=5,"High",IF(J85&gt;=3.5,"Medium","Low")))</f>
        <v>High</v>
      </c>
    </row>
    <row r="86" customFormat="false" ht="15" hidden="false" customHeight="false" outlineLevel="0" collapsed="false">
      <c r="A86" s="3" t="str">
        <f aca="false">Studies!A86</f>
        <v>S085</v>
      </c>
      <c r="B86" s="10" t="n">
        <v>1</v>
      </c>
      <c r="C86" s="10" t="n">
        <v>0</v>
      </c>
      <c r="D86" s="10" t="n">
        <v>0</v>
      </c>
      <c r="E86" s="10" t="n">
        <v>1</v>
      </c>
      <c r="F86" s="10" t="n">
        <v>1</v>
      </c>
      <c r="G86" s="10" t="n">
        <v>1</v>
      </c>
      <c r="H86" s="10" t="n">
        <v>0</v>
      </c>
      <c r="I86" s="10" t="n">
        <v>0</v>
      </c>
      <c r="J86" s="3" t="n">
        <f aca="false">IF(COUNT(B86:I86)=8,SUM(B86:I86),"")</f>
        <v>4</v>
      </c>
      <c r="K86" s="3" t="str">
        <f aca="false">IF(J86="","",IF(J86&gt;=5,"High",IF(J86&gt;=3.5,"Medium","Low")))</f>
        <v>Medium</v>
      </c>
    </row>
    <row r="87" customFormat="false" ht="15" hidden="false" customHeight="false" outlineLevel="0" collapsed="false">
      <c r="A87" s="3" t="str">
        <f aca="false">Studies!A87</f>
        <v>S086</v>
      </c>
      <c r="B87" s="10" t="n">
        <v>0.5</v>
      </c>
      <c r="C87" s="10" t="n">
        <v>0</v>
      </c>
      <c r="D87" s="10" t="n">
        <v>0.5</v>
      </c>
      <c r="E87" s="10" t="n">
        <v>1</v>
      </c>
      <c r="F87" s="10" t="n">
        <v>0</v>
      </c>
      <c r="G87" s="10" t="n">
        <v>0.5</v>
      </c>
      <c r="H87" s="10" t="n">
        <v>1</v>
      </c>
      <c r="I87" s="10" t="n">
        <v>0</v>
      </c>
      <c r="J87" s="3" t="n">
        <f aca="false">IF(COUNT(B87:I87)=8,SUM(B87:I87),"")</f>
        <v>3.5</v>
      </c>
      <c r="K87" s="3" t="str">
        <f aca="false">IF(J87="","",IF(J87&gt;=5,"High",IF(J87&gt;=3.5,"Medium","Low")))</f>
        <v>Medium</v>
      </c>
    </row>
    <row r="88" customFormat="false" ht="15" hidden="false" customHeight="false" outlineLevel="0" collapsed="false">
      <c r="A88" s="3" t="str">
        <f aca="false">Studies!A88</f>
        <v>S087</v>
      </c>
      <c r="B88" s="10" t="n">
        <v>1</v>
      </c>
      <c r="C88" s="10" t="n">
        <v>0</v>
      </c>
      <c r="D88" s="10" t="n">
        <v>1</v>
      </c>
      <c r="E88" s="10" t="n">
        <v>1</v>
      </c>
      <c r="F88" s="10" t="n">
        <v>0</v>
      </c>
      <c r="G88" s="10" t="n">
        <v>1</v>
      </c>
      <c r="H88" s="10" t="n">
        <v>1</v>
      </c>
      <c r="I88" s="10" t="n">
        <v>0</v>
      </c>
      <c r="J88" s="3" t="n">
        <f aca="false">IF(COUNT(B88:I88)=8,SUM(B88:I88),"")</f>
        <v>5</v>
      </c>
      <c r="K88" s="3" t="str">
        <f aca="false">IF(J88="","",IF(J88&gt;=5,"High",IF(J88&gt;=3.5,"Medium","Low")))</f>
        <v>High</v>
      </c>
    </row>
    <row r="89" customFormat="false" ht="15" hidden="false" customHeight="false" outlineLevel="0" collapsed="false">
      <c r="A89" s="3" t="str">
        <f aca="false">Studies!A89</f>
        <v>S088</v>
      </c>
      <c r="B89" s="10" t="n">
        <v>1</v>
      </c>
      <c r="C89" s="10" t="n">
        <v>0</v>
      </c>
      <c r="D89" s="10" t="n">
        <v>1</v>
      </c>
      <c r="E89" s="10" t="n">
        <v>0</v>
      </c>
      <c r="F89" s="10" t="n">
        <v>0.5</v>
      </c>
      <c r="G89" s="10" t="n">
        <v>1</v>
      </c>
      <c r="H89" s="10" t="n">
        <v>1</v>
      </c>
      <c r="I89" s="10" t="n">
        <v>0</v>
      </c>
      <c r="J89" s="3" t="n">
        <f aca="false">IF(COUNT(B89:I89)=8,SUM(B89:I89),"")</f>
        <v>4.5</v>
      </c>
      <c r="K89" s="3" t="str">
        <f aca="false">IF(J89="","",IF(J89&gt;=5,"High",IF(J89&gt;=3.5,"Medium","Low")))</f>
        <v>Medium</v>
      </c>
    </row>
    <row r="90" customFormat="false" ht="15" hidden="false" customHeight="false" outlineLevel="0" collapsed="false">
      <c r="A90" s="3" t="str">
        <f aca="false">Studies!A90</f>
        <v>S089</v>
      </c>
      <c r="B90" s="10" t="n">
        <v>1</v>
      </c>
      <c r="C90" s="10" t="n">
        <v>0</v>
      </c>
      <c r="D90" s="10" t="n">
        <v>0</v>
      </c>
      <c r="E90" s="10" t="n">
        <v>1</v>
      </c>
      <c r="F90" s="10" t="n">
        <v>0</v>
      </c>
      <c r="G90" s="10" t="n">
        <v>1</v>
      </c>
      <c r="H90" s="10" t="n">
        <v>1</v>
      </c>
      <c r="I90" s="10" t="n">
        <v>0</v>
      </c>
      <c r="J90" s="3" t="n">
        <f aca="false">IF(COUNT(B90:I90)=8,SUM(B90:I90),"")</f>
        <v>4</v>
      </c>
      <c r="K90" s="3" t="str">
        <f aca="false">IF(J90="","",IF(J90&gt;=5,"High",IF(J90&gt;=3.5,"Medium","Low")))</f>
        <v>Medium</v>
      </c>
    </row>
    <row r="91" customFormat="false" ht="15" hidden="false" customHeight="false" outlineLevel="0" collapsed="false">
      <c r="A91" s="3" t="str">
        <f aca="false">Studies!A91</f>
        <v>S090</v>
      </c>
      <c r="B91" s="10" t="n">
        <v>0.5</v>
      </c>
      <c r="C91" s="10" t="n">
        <v>0</v>
      </c>
      <c r="D91" s="10" t="n">
        <v>0</v>
      </c>
      <c r="E91" s="10" t="n">
        <v>0</v>
      </c>
      <c r="F91" s="10" t="n">
        <v>0.5</v>
      </c>
      <c r="G91" s="10" t="n">
        <v>1</v>
      </c>
      <c r="H91" s="10" t="n">
        <v>1</v>
      </c>
      <c r="I91" s="10" t="n">
        <v>0</v>
      </c>
      <c r="J91" s="3" t="n">
        <f aca="false">IF(COUNT(B91:I91)=8,SUM(B91:I91),"")</f>
        <v>3</v>
      </c>
      <c r="K91" s="3" t="str">
        <f aca="false">IF(J91="","",IF(J91&gt;=5,"High",IF(J91&gt;=3.5,"Medium","Low")))</f>
        <v>Low</v>
      </c>
    </row>
    <row r="92" customFormat="false" ht="15" hidden="false" customHeight="false" outlineLevel="0" collapsed="false">
      <c r="A92" s="3" t="str">
        <f aca="false">Studies!A92</f>
        <v>S091</v>
      </c>
      <c r="B92" s="10" t="n">
        <v>1</v>
      </c>
      <c r="C92" s="10" t="n">
        <v>0</v>
      </c>
      <c r="D92" s="10" t="n">
        <v>0.5</v>
      </c>
      <c r="E92" s="10" t="n">
        <v>1</v>
      </c>
      <c r="F92" s="10" t="n">
        <v>0</v>
      </c>
      <c r="G92" s="10" t="n">
        <v>0.5</v>
      </c>
      <c r="H92" s="10" t="n">
        <v>1</v>
      </c>
      <c r="I92" s="10" t="n">
        <v>0</v>
      </c>
      <c r="J92" s="3" t="n">
        <f aca="false">IF(COUNT(B92:I92)=8,SUM(B92:I92),"")</f>
        <v>4</v>
      </c>
      <c r="K92" s="3" t="str">
        <f aca="false">IF(J92="","",IF(J92&gt;=5,"High",IF(J92&gt;=3.5,"Medium","Low")))</f>
        <v>Medium</v>
      </c>
    </row>
    <row r="93" customFormat="false" ht="15" hidden="false" customHeight="false" outlineLevel="0" collapsed="false">
      <c r="A93" s="3" t="str">
        <f aca="false">Studies!A93</f>
        <v>S092</v>
      </c>
      <c r="B93" s="10" t="n">
        <v>0.5</v>
      </c>
      <c r="C93" s="10" t="n">
        <v>0</v>
      </c>
      <c r="D93" s="10" t="n">
        <v>1</v>
      </c>
      <c r="E93" s="10" t="n">
        <v>1</v>
      </c>
      <c r="F93" s="10" t="n">
        <v>0.5</v>
      </c>
      <c r="G93" s="10" t="n">
        <v>0.5</v>
      </c>
      <c r="H93" s="10" t="n">
        <v>1</v>
      </c>
      <c r="I93" s="10" t="n">
        <v>0</v>
      </c>
      <c r="J93" s="3" t="n">
        <f aca="false">IF(COUNT(B93:I93)=8,SUM(B93:I93),"")</f>
        <v>4.5</v>
      </c>
      <c r="K93" s="3" t="str">
        <f aca="false">IF(J93="","",IF(J93&gt;=5,"High",IF(J93&gt;=3.5,"Medium","Low")))</f>
        <v>Medium</v>
      </c>
    </row>
    <row r="94" customFormat="false" ht="15" hidden="false" customHeight="false" outlineLevel="0" collapsed="false">
      <c r="A94" s="3" t="str">
        <f aca="false">Studies!A94</f>
        <v>S093</v>
      </c>
      <c r="B94" s="10" t="n">
        <v>1</v>
      </c>
      <c r="C94" s="10" t="n">
        <v>0</v>
      </c>
      <c r="D94" s="10" t="n">
        <v>0</v>
      </c>
      <c r="E94" s="10" t="n">
        <v>1</v>
      </c>
      <c r="F94" s="10" t="n">
        <v>0</v>
      </c>
      <c r="G94" s="10" t="n">
        <v>0</v>
      </c>
      <c r="H94" s="10" t="n">
        <v>1</v>
      </c>
      <c r="I94" s="10" t="n">
        <v>0</v>
      </c>
      <c r="J94" s="3" t="n">
        <f aca="false">IF(COUNT(B94:I94)=8,SUM(B94:I94),"")</f>
        <v>3</v>
      </c>
      <c r="K94" s="3" t="str">
        <f aca="false">IF(J94="","",IF(J94&gt;=5,"High",IF(J94&gt;=3.5,"Medium","Low")))</f>
        <v>Low</v>
      </c>
    </row>
    <row r="95" customFormat="false" ht="15" hidden="false" customHeight="false" outlineLevel="0" collapsed="false">
      <c r="A95" s="3" t="str">
        <f aca="false">Studies!A95</f>
        <v>S094</v>
      </c>
      <c r="B95" s="10" t="n">
        <v>1</v>
      </c>
      <c r="C95" s="10" t="n">
        <v>0</v>
      </c>
      <c r="D95" s="10" t="n">
        <v>1</v>
      </c>
      <c r="E95" s="10" t="n">
        <v>0.5</v>
      </c>
      <c r="F95" s="10" t="n">
        <v>0.5</v>
      </c>
      <c r="G95" s="10" t="n">
        <v>0.5</v>
      </c>
      <c r="H95" s="10" t="n">
        <v>0</v>
      </c>
      <c r="I95" s="10" t="n">
        <v>0</v>
      </c>
      <c r="J95" s="3" t="n">
        <f aca="false">IF(COUNT(B95:I95)=8,SUM(B95:I95),"")</f>
        <v>3.5</v>
      </c>
      <c r="K95" s="3" t="str">
        <f aca="false">IF(J95="","",IF(J95&gt;=5,"High",IF(J95&gt;=3.5,"Medium","Low")))</f>
        <v>Medium</v>
      </c>
    </row>
    <row r="96" customFormat="false" ht="15" hidden="false" customHeight="false" outlineLevel="0" collapsed="false">
      <c r="A96" s="3" t="str">
        <f aca="false">Studies!A96</f>
        <v>S095</v>
      </c>
      <c r="B96" s="10" t="n">
        <v>0.5</v>
      </c>
      <c r="C96" s="10" t="n">
        <v>0</v>
      </c>
      <c r="D96" s="10" t="n">
        <v>1</v>
      </c>
      <c r="E96" s="10" t="n">
        <v>1</v>
      </c>
      <c r="F96" s="10" t="n">
        <v>1</v>
      </c>
      <c r="G96" s="10" t="n">
        <v>0</v>
      </c>
      <c r="H96" s="10" t="n">
        <v>0</v>
      </c>
      <c r="I96" s="10" t="n">
        <v>0</v>
      </c>
      <c r="J96" s="3" t="n">
        <f aca="false">IF(COUNT(B96:I96)=8,SUM(B96:I96),"")</f>
        <v>3.5</v>
      </c>
      <c r="K96" s="3" t="str">
        <f aca="false">IF(J96="","",IF(J96&gt;=5,"High",IF(J96&gt;=3.5,"Medium","Low")))</f>
        <v>Medium</v>
      </c>
    </row>
    <row r="97" customFormat="false" ht="15" hidden="false" customHeight="false" outlineLevel="0" collapsed="false">
      <c r="A97" s="3" t="str">
        <f aca="false">Studies!A97</f>
        <v>S096</v>
      </c>
      <c r="B97" s="10" t="n">
        <v>0.5</v>
      </c>
      <c r="C97" s="10" t="n">
        <v>0</v>
      </c>
      <c r="D97" s="10" t="n">
        <v>0.5</v>
      </c>
      <c r="E97" s="10" t="n">
        <v>0.5</v>
      </c>
      <c r="F97" s="10" t="n">
        <v>0</v>
      </c>
      <c r="G97" s="10" t="n">
        <v>1</v>
      </c>
      <c r="H97" s="10" t="n">
        <v>0</v>
      </c>
      <c r="I97" s="10" t="n">
        <v>0</v>
      </c>
      <c r="J97" s="3" t="n">
        <f aca="false">IF(COUNT(B97:I97)=8,SUM(B97:I97),"")</f>
        <v>2.5</v>
      </c>
      <c r="K97" s="3" t="str">
        <f aca="false">IF(J97="","",IF(J97&gt;=5,"High",IF(J97&gt;=3.5,"Medium","Low")))</f>
        <v>Low</v>
      </c>
    </row>
    <row r="98" customFormat="false" ht="15" hidden="false" customHeight="false" outlineLevel="0" collapsed="false">
      <c r="A98" s="3" t="str">
        <f aca="false">Studies!A98</f>
        <v>S097</v>
      </c>
      <c r="B98" s="10" t="n">
        <v>0.5</v>
      </c>
      <c r="C98" s="10" t="n">
        <v>0</v>
      </c>
      <c r="D98" s="10" t="n">
        <v>0</v>
      </c>
      <c r="E98" s="10" t="n">
        <v>0.5</v>
      </c>
      <c r="F98" s="10" t="n">
        <v>0</v>
      </c>
      <c r="G98" s="10" t="n">
        <v>1</v>
      </c>
      <c r="H98" s="10" t="n">
        <v>0</v>
      </c>
      <c r="I98" s="10" t="n">
        <v>0</v>
      </c>
      <c r="J98" s="3" t="n">
        <f aca="false">IF(COUNT(B98:I98)=8,SUM(B98:I98),"")</f>
        <v>2</v>
      </c>
      <c r="K98" s="3" t="str">
        <f aca="false">IF(J98="","",IF(J98&gt;=5,"High",IF(J98&gt;=3.5,"Medium","Low")))</f>
        <v>Low</v>
      </c>
    </row>
    <row r="99" customFormat="false" ht="15" hidden="false" customHeight="false" outlineLevel="0" collapsed="false">
      <c r="A99" s="3" t="str">
        <f aca="false">Studies!A99</f>
        <v>S098</v>
      </c>
      <c r="B99" s="10" t="n">
        <v>1</v>
      </c>
      <c r="C99" s="10" t="n">
        <v>0</v>
      </c>
      <c r="D99" s="10" t="n">
        <v>0.5</v>
      </c>
      <c r="E99" s="10" t="n">
        <v>1</v>
      </c>
      <c r="F99" s="10" t="n">
        <v>0</v>
      </c>
      <c r="G99" s="10" t="n">
        <v>0.5</v>
      </c>
      <c r="H99" s="10" t="n">
        <v>0</v>
      </c>
      <c r="I99" s="10" t="n">
        <v>0</v>
      </c>
      <c r="J99" s="3" t="n">
        <f aca="false">IF(COUNT(B99:I99)=8,SUM(B99:I99),"")</f>
        <v>3</v>
      </c>
      <c r="K99" s="3" t="str">
        <f aca="false">IF(J99="","",IF(J99&gt;=5,"High",IF(J99&gt;=3.5,"Medium","Low")))</f>
        <v>Low</v>
      </c>
    </row>
    <row r="100" customFormat="false" ht="15" hidden="false" customHeight="false" outlineLevel="0" collapsed="false">
      <c r="A100" s="3" t="str">
        <f aca="false">Studies!A100</f>
        <v>S099</v>
      </c>
      <c r="B100" s="10" t="n">
        <v>0</v>
      </c>
      <c r="C100" s="10" t="n">
        <v>0</v>
      </c>
      <c r="D100" s="10" t="n">
        <v>0</v>
      </c>
      <c r="E100" s="10" t="n">
        <v>0</v>
      </c>
      <c r="F100" s="10" t="n">
        <v>0.5</v>
      </c>
      <c r="G100" s="10" t="n">
        <v>0</v>
      </c>
      <c r="H100" s="10" t="n">
        <v>0</v>
      </c>
      <c r="I100" s="10" t="n">
        <v>0</v>
      </c>
      <c r="J100" s="3" t="n">
        <f aca="false">IF(COUNT(B100:I100)=8,SUM(B100:I100),"")</f>
        <v>0.5</v>
      </c>
      <c r="K100" s="3" t="str">
        <f aca="false">IF(J100="","",IF(J100&gt;=5,"High",IF(J100&gt;=3.5,"Medium","Low")))</f>
        <v>Low</v>
      </c>
    </row>
    <row r="101" customFormat="false" ht="15" hidden="false" customHeight="false" outlineLevel="0" collapsed="false">
      <c r="A101" s="3" t="str">
        <f aca="false">Studies!A101</f>
        <v>S100</v>
      </c>
      <c r="B101" s="10" t="n">
        <v>0.5</v>
      </c>
      <c r="C101" s="10" t="n">
        <v>0</v>
      </c>
      <c r="D101" s="10" t="n">
        <v>0.5</v>
      </c>
      <c r="E101" s="10" t="n">
        <v>0.5</v>
      </c>
      <c r="F101" s="10" t="n">
        <v>0.5</v>
      </c>
      <c r="G101" s="10" t="n">
        <v>0.5</v>
      </c>
      <c r="H101" s="10" t="n">
        <v>1</v>
      </c>
      <c r="I101" s="10" t="n">
        <v>0</v>
      </c>
      <c r="J101" s="3" t="n">
        <f aca="false">IF(COUNT(B101:I101)=8,SUM(B101:I101),"")</f>
        <v>3.5</v>
      </c>
      <c r="K101" s="3" t="str">
        <f aca="false">IF(J101="","",IF(J101&gt;=5,"High",IF(J101&gt;=3.5,"Medium","Low")))</f>
        <v>Medium</v>
      </c>
    </row>
    <row r="102" customFormat="false" ht="15" hidden="false" customHeight="false" outlineLevel="0" collapsed="false">
      <c r="A102" s="3" t="str">
        <f aca="false">Studies!A102</f>
        <v>S101</v>
      </c>
      <c r="B102" s="10" t="n">
        <v>1</v>
      </c>
      <c r="C102" s="10" t="n">
        <v>0</v>
      </c>
      <c r="D102" s="10" t="n">
        <v>1</v>
      </c>
      <c r="E102" s="10" t="n">
        <v>0.5</v>
      </c>
      <c r="F102" s="10" t="n">
        <v>0.5</v>
      </c>
      <c r="G102" s="10" t="n">
        <v>0.5</v>
      </c>
      <c r="H102" s="10" t="n">
        <v>1</v>
      </c>
      <c r="I102" s="10" t="n">
        <v>0</v>
      </c>
      <c r="J102" s="3" t="n">
        <f aca="false">IF(COUNT(B102:I102)=8,SUM(B102:I102),"")</f>
        <v>4.5</v>
      </c>
      <c r="K102" s="3" t="str">
        <f aca="false">IF(J102="","",IF(J102&gt;=5,"High",IF(J102&gt;=3.5,"Medium","Low")))</f>
        <v>Medium</v>
      </c>
    </row>
    <row r="103" customFormat="false" ht="15" hidden="false" customHeight="false" outlineLevel="0" collapsed="false">
      <c r="A103" s="3" t="str">
        <f aca="false">Studies!A103</f>
        <v>S102</v>
      </c>
      <c r="B103" s="10" t="n">
        <v>0.5</v>
      </c>
      <c r="C103" s="10" t="n">
        <v>0</v>
      </c>
      <c r="D103" s="10" t="n">
        <v>0.5</v>
      </c>
      <c r="E103" s="10" t="n">
        <v>1</v>
      </c>
      <c r="F103" s="10" t="n">
        <v>0</v>
      </c>
      <c r="G103" s="10" t="n">
        <v>1</v>
      </c>
      <c r="H103" s="10" t="n">
        <v>0</v>
      </c>
      <c r="I103" s="10" t="n">
        <v>0</v>
      </c>
      <c r="J103" s="3" t="n">
        <f aca="false">IF(COUNT(B103:I103)=8,SUM(B103:I103),"")</f>
        <v>3</v>
      </c>
      <c r="K103" s="3" t="str">
        <f aca="false">IF(J103="","",IF(J103&gt;=5,"High",IF(J103&gt;=3.5,"Medium","Low")))</f>
        <v>Low</v>
      </c>
    </row>
    <row r="104" customFormat="false" ht="15" hidden="false" customHeight="false" outlineLevel="0" collapsed="false">
      <c r="A104" s="3" t="str">
        <f aca="false">Studies!A104</f>
        <v>S103</v>
      </c>
      <c r="B104" s="10" t="n">
        <v>0.5</v>
      </c>
      <c r="C104" s="10" t="n">
        <v>0</v>
      </c>
      <c r="D104" s="10" t="n">
        <v>0</v>
      </c>
      <c r="E104" s="10" t="n">
        <v>1</v>
      </c>
      <c r="F104" s="10" t="n">
        <v>0</v>
      </c>
      <c r="G104" s="10" t="n">
        <v>1</v>
      </c>
      <c r="H104" s="10" t="n">
        <v>1</v>
      </c>
      <c r="I104" s="10" t="n">
        <v>0</v>
      </c>
      <c r="J104" s="3" t="n">
        <f aca="false">IF(COUNT(B104:I104)=8,SUM(B104:I104),"")</f>
        <v>3.5</v>
      </c>
      <c r="K104" s="3" t="str">
        <f aca="false">IF(J104="","",IF(J104&gt;=5,"High",IF(J104&gt;=3.5,"Medium","Low")))</f>
        <v>Medium</v>
      </c>
    </row>
    <row r="105" customFormat="false" ht="15" hidden="false" customHeight="false" outlineLevel="0" collapsed="false">
      <c r="A105" s="3" t="str">
        <f aca="false">Studies!A105</f>
        <v>S104</v>
      </c>
      <c r="B105" s="10" t="n">
        <v>1</v>
      </c>
      <c r="C105" s="10" t="n">
        <v>1</v>
      </c>
      <c r="D105" s="10" t="n">
        <v>1</v>
      </c>
      <c r="E105" s="10" t="n">
        <v>0</v>
      </c>
      <c r="F105" s="10" t="n">
        <v>0</v>
      </c>
      <c r="G105" s="10" t="n">
        <v>0.5</v>
      </c>
      <c r="H105" s="10" t="n">
        <v>0</v>
      </c>
      <c r="I105" s="10" t="n">
        <v>0</v>
      </c>
      <c r="J105" s="3" t="n">
        <f aca="false">IF(COUNT(B105:I105)=8,SUM(B105:I105),"")</f>
        <v>3.5</v>
      </c>
      <c r="K105" s="3" t="str">
        <f aca="false">IF(J105="","",IF(J105&gt;=5,"High",IF(J105&gt;=3.5,"Medium","Low")))</f>
        <v>Medium</v>
      </c>
    </row>
    <row r="106" customFormat="false" ht="15" hidden="false" customHeight="false" outlineLevel="0" collapsed="false">
      <c r="A106" s="3" t="str">
        <f aca="false">Studies!A106</f>
        <v>S105</v>
      </c>
      <c r="B106" s="10" t="n">
        <v>1</v>
      </c>
      <c r="C106" s="10" t="n">
        <v>0</v>
      </c>
      <c r="D106" s="10" t="n">
        <v>0.5</v>
      </c>
      <c r="E106" s="10" t="n">
        <v>1</v>
      </c>
      <c r="F106" s="10" t="n">
        <v>0</v>
      </c>
      <c r="G106" s="10" t="n">
        <v>0.5</v>
      </c>
      <c r="H106" s="10" t="n">
        <v>0</v>
      </c>
      <c r="I106" s="10" t="n">
        <v>0</v>
      </c>
      <c r="J106" s="3" t="n">
        <f aca="false">IF(COUNT(B106:I106)=8,SUM(B106:I106),"")</f>
        <v>3</v>
      </c>
      <c r="K106" s="3" t="str">
        <f aca="false">IF(J106="","",IF(J106&gt;=5,"High",IF(J106&gt;=3.5,"Medium","Low")))</f>
        <v>Low</v>
      </c>
    </row>
    <row r="107" customFormat="false" ht="15" hidden="false" customHeight="false" outlineLevel="0" collapsed="false">
      <c r="A107" s="3" t="str">
        <f aca="false">Studies!A107</f>
        <v>S106</v>
      </c>
      <c r="B107" s="10" t="n">
        <v>0.5</v>
      </c>
      <c r="C107" s="10" t="n">
        <v>0</v>
      </c>
      <c r="D107" s="10" t="n">
        <v>0</v>
      </c>
      <c r="E107" s="10" t="n">
        <v>1</v>
      </c>
      <c r="F107" s="10" t="n">
        <v>0.5</v>
      </c>
      <c r="G107" s="10" t="n">
        <v>0</v>
      </c>
      <c r="H107" s="10" t="n">
        <v>0</v>
      </c>
      <c r="I107" s="10" t="n">
        <v>0</v>
      </c>
      <c r="J107" s="3" t="n">
        <f aca="false">IF(COUNT(B107:I107)=8,SUM(B107:I107),"")</f>
        <v>2</v>
      </c>
      <c r="K107" s="3" t="str">
        <f aca="false">IF(J107="","",IF(J107&gt;=5,"High",IF(J107&gt;=3.5,"Medium","Low")))</f>
        <v>Low</v>
      </c>
    </row>
    <row r="108" customFormat="false" ht="15" hidden="false" customHeight="false" outlineLevel="0" collapsed="false">
      <c r="A108" s="3" t="str">
        <f aca="false">Studies!A108</f>
        <v>S107</v>
      </c>
      <c r="B108" s="10" t="n">
        <v>1</v>
      </c>
      <c r="C108" s="10" t="n">
        <v>0</v>
      </c>
      <c r="D108" s="10" t="n">
        <v>0</v>
      </c>
      <c r="E108" s="10" t="n">
        <v>0.5</v>
      </c>
      <c r="F108" s="10" t="n">
        <v>0.5</v>
      </c>
      <c r="G108" s="10" t="n">
        <v>0.5</v>
      </c>
      <c r="H108" s="10" t="n">
        <v>0</v>
      </c>
      <c r="I108" s="10" t="n">
        <v>0</v>
      </c>
      <c r="J108" s="3" t="n">
        <f aca="false">IF(COUNT(B108:I108)=8,SUM(B108:I108),"")</f>
        <v>2.5</v>
      </c>
      <c r="K108" s="3" t="str">
        <f aca="false">IF(J108="","",IF(J108&gt;=5,"High",IF(J108&gt;=3.5,"Medium","Low")))</f>
        <v>Low</v>
      </c>
    </row>
    <row r="109" customFormat="false" ht="15" hidden="false" customHeight="false" outlineLevel="0" collapsed="false">
      <c r="A109" s="3" t="str">
        <f aca="false">Studies!A109</f>
        <v>S108</v>
      </c>
      <c r="B109" s="10" t="n">
        <v>1</v>
      </c>
      <c r="C109" s="10" t="n">
        <v>0</v>
      </c>
      <c r="D109" s="10" t="n">
        <v>0.5</v>
      </c>
      <c r="E109" s="10" t="n">
        <v>1</v>
      </c>
      <c r="F109" s="10" t="n">
        <v>0.5</v>
      </c>
      <c r="G109" s="10" t="n">
        <v>1</v>
      </c>
      <c r="H109" s="10" t="n">
        <v>1</v>
      </c>
      <c r="I109" s="10" t="n">
        <v>0</v>
      </c>
      <c r="J109" s="3" t="n">
        <f aca="false">IF(COUNT(B109:I109)=8,SUM(B109:I109),"")</f>
        <v>5</v>
      </c>
      <c r="K109" s="3" t="str">
        <f aca="false">IF(J109="","",IF(J109&gt;=5,"High",IF(J109&gt;=3.5,"Medium","Low")))</f>
        <v>High</v>
      </c>
    </row>
    <row r="110" customFormat="false" ht="15" hidden="false" customHeight="false" outlineLevel="0" collapsed="false">
      <c r="A110" s="3" t="str">
        <f aca="false">Studies!A110</f>
        <v>S109</v>
      </c>
      <c r="B110" s="10" t="n">
        <v>1</v>
      </c>
      <c r="C110" s="10" t="n">
        <v>0</v>
      </c>
      <c r="D110" s="10" t="n">
        <v>0</v>
      </c>
      <c r="E110" s="10" t="n">
        <v>0.5</v>
      </c>
      <c r="F110" s="10" t="n">
        <v>0.5</v>
      </c>
      <c r="G110" s="10" t="n">
        <v>0.5</v>
      </c>
      <c r="H110" s="10" t="n">
        <v>1</v>
      </c>
      <c r="I110" s="10" t="n">
        <v>0</v>
      </c>
      <c r="J110" s="3" t="n">
        <f aca="false">IF(COUNT(B110:I110)=8,SUM(B110:I110),"")</f>
        <v>3.5</v>
      </c>
      <c r="K110" s="3" t="str">
        <f aca="false">IF(J110="","",IF(J110&gt;=5,"High",IF(J110&gt;=3.5,"Medium","Low")))</f>
        <v>Medium</v>
      </c>
    </row>
    <row r="111" customFormat="false" ht="15" hidden="false" customHeight="false" outlineLevel="0" collapsed="false">
      <c r="A111" s="3" t="str">
        <f aca="false">Studies!A111</f>
        <v>S110</v>
      </c>
      <c r="B111" s="10" t="n">
        <v>1</v>
      </c>
      <c r="C111" s="10" t="n">
        <v>0</v>
      </c>
      <c r="D111" s="10" t="n">
        <v>1</v>
      </c>
      <c r="E111" s="10" t="n">
        <v>1</v>
      </c>
      <c r="F111" s="10" t="n">
        <v>0.5</v>
      </c>
      <c r="G111" s="10" t="n">
        <v>1</v>
      </c>
      <c r="H111" s="10" t="n">
        <v>0</v>
      </c>
      <c r="I111" s="10" t="n">
        <v>0</v>
      </c>
      <c r="J111" s="3" t="n">
        <f aca="false">IF(COUNT(B111:I111)=8,SUM(B111:I111),"")</f>
        <v>4.5</v>
      </c>
      <c r="K111" s="3" t="str">
        <f aca="false">IF(J111="","",IF(J111&gt;=5,"High",IF(J111&gt;=3.5,"Medium","Low")))</f>
        <v>Medium</v>
      </c>
    </row>
    <row r="112" customFormat="false" ht="15" hidden="false" customHeight="false" outlineLevel="0" collapsed="false">
      <c r="A112" s="3" t="str">
        <f aca="false">Studies!A112</f>
        <v>S111</v>
      </c>
      <c r="B112" s="10" t="n">
        <v>1</v>
      </c>
      <c r="C112" s="10" t="n">
        <v>0</v>
      </c>
      <c r="D112" s="10" t="n">
        <v>0.5</v>
      </c>
      <c r="E112" s="10" t="n">
        <v>0.5</v>
      </c>
      <c r="F112" s="10" t="n">
        <v>0</v>
      </c>
      <c r="G112" s="10" t="n">
        <v>1</v>
      </c>
      <c r="H112" s="10" t="n">
        <v>1</v>
      </c>
      <c r="I112" s="10" t="n">
        <v>0</v>
      </c>
      <c r="J112" s="3" t="n">
        <f aca="false">IF(COUNT(B112:I112)=8,SUM(B112:I112),"")</f>
        <v>4</v>
      </c>
      <c r="K112" s="3" t="str">
        <f aca="false">IF(J112="","",IF(J112&gt;=5,"High",IF(J112&gt;=3.5,"Medium","Low")))</f>
        <v>Medium</v>
      </c>
    </row>
    <row r="113" customFormat="false" ht="15" hidden="false" customHeight="false" outlineLevel="0" collapsed="false">
      <c r="A113" s="3" t="str">
        <f aca="false">Studies!A113</f>
        <v>S112</v>
      </c>
      <c r="B113" s="10" t="n">
        <v>1</v>
      </c>
      <c r="C113" s="10" t="n">
        <v>0</v>
      </c>
      <c r="D113" s="10" t="n">
        <v>1</v>
      </c>
      <c r="E113" s="10" t="n">
        <v>1</v>
      </c>
      <c r="F113" s="10" t="n">
        <v>1</v>
      </c>
      <c r="G113" s="10" t="n">
        <v>0</v>
      </c>
      <c r="H113" s="10" t="n">
        <v>0</v>
      </c>
      <c r="I113" s="10" t="n">
        <v>0</v>
      </c>
      <c r="J113" s="3" t="n">
        <f aca="false">IF(COUNT(B113:I113)=8,SUM(B113:I113),"")</f>
        <v>4</v>
      </c>
      <c r="K113" s="3" t="str">
        <f aca="false">IF(J113="","",IF(J113&gt;=5,"High",IF(J113&gt;=3.5,"Medium","Low")))</f>
        <v>Medium</v>
      </c>
    </row>
    <row r="114" customFormat="false" ht="15" hidden="false" customHeight="false" outlineLevel="0" collapsed="false">
      <c r="A114" s="3" t="str">
        <f aca="false">Studies!A114</f>
        <v>S113</v>
      </c>
      <c r="B114" s="10" t="n">
        <v>0.5</v>
      </c>
      <c r="C114" s="10" t="n">
        <v>0</v>
      </c>
      <c r="D114" s="10" t="n">
        <v>1</v>
      </c>
      <c r="E114" s="10" t="n">
        <v>1</v>
      </c>
      <c r="F114" s="10" t="n">
        <v>1</v>
      </c>
      <c r="G114" s="10" t="n">
        <v>1</v>
      </c>
      <c r="H114" s="10" t="n">
        <v>0</v>
      </c>
      <c r="I114" s="10" t="n">
        <v>0</v>
      </c>
      <c r="J114" s="3" t="n">
        <f aca="false">IF(COUNT(B114:I114)=8,SUM(B114:I114),"")</f>
        <v>4.5</v>
      </c>
      <c r="K114" s="3" t="str">
        <f aca="false">IF(J114="","",IF(J114&gt;=5,"High",IF(J114&gt;=3.5,"Medium","Low")))</f>
        <v>Medium</v>
      </c>
    </row>
    <row r="115" customFormat="false" ht="15" hidden="false" customHeight="false" outlineLevel="0" collapsed="false">
      <c r="A115" s="3" t="str">
        <f aca="false">Studies!A115</f>
        <v>S114</v>
      </c>
      <c r="B115" s="10" t="n">
        <v>1</v>
      </c>
      <c r="C115" s="10" t="n">
        <v>0</v>
      </c>
      <c r="D115" s="10" t="n">
        <v>1</v>
      </c>
      <c r="E115" s="10" t="n">
        <v>1</v>
      </c>
      <c r="F115" s="10" t="n">
        <v>0.5</v>
      </c>
      <c r="G115" s="10" t="n">
        <v>1</v>
      </c>
      <c r="H115" s="10" t="n">
        <v>0</v>
      </c>
      <c r="I115" s="10" t="n">
        <v>0</v>
      </c>
      <c r="J115" s="3" t="n">
        <f aca="false">IF(COUNT(B115:I115)=8,SUM(B115:I115),"")</f>
        <v>4.5</v>
      </c>
      <c r="K115" s="3" t="str">
        <f aca="false">IF(J115="","",IF(J115&gt;=5,"High",IF(J115&gt;=3.5,"Medium","Low")))</f>
        <v>Medium</v>
      </c>
    </row>
    <row r="116" customFormat="false" ht="15" hidden="false" customHeight="false" outlineLevel="0" collapsed="false">
      <c r="A116" s="3" t="str">
        <f aca="false">Studies!A116</f>
        <v>S115</v>
      </c>
      <c r="B116" s="10" t="n">
        <v>0.5</v>
      </c>
      <c r="C116" s="10" t="n">
        <v>0</v>
      </c>
      <c r="D116" s="10" t="n">
        <v>1</v>
      </c>
      <c r="E116" s="10" t="n">
        <v>1</v>
      </c>
      <c r="F116" s="10" t="n">
        <v>0</v>
      </c>
      <c r="G116" s="10" t="n">
        <v>0</v>
      </c>
      <c r="H116" s="10" t="n">
        <v>0</v>
      </c>
      <c r="I116" s="10" t="n">
        <v>0</v>
      </c>
      <c r="J116" s="3" t="n">
        <f aca="false">IF(COUNT(B116:I116)=8,SUM(B116:I116),"")</f>
        <v>2.5</v>
      </c>
      <c r="K116" s="3" t="str">
        <f aca="false">IF(J116="","",IF(J116&gt;=5,"High",IF(J116&gt;=3.5,"Medium","Low")))</f>
        <v>Low</v>
      </c>
    </row>
    <row r="117" customFormat="false" ht="15" hidden="false" customHeight="false" outlineLevel="0" collapsed="false">
      <c r="A117" s="3" t="str">
        <f aca="false">Studies!A117</f>
        <v>S116</v>
      </c>
      <c r="B117" s="10" t="n">
        <v>0</v>
      </c>
      <c r="C117" s="10" t="n">
        <v>0</v>
      </c>
      <c r="D117" s="10" t="n">
        <v>0</v>
      </c>
      <c r="E117" s="10" t="n">
        <v>0.5</v>
      </c>
      <c r="F117" s="10" t="n">
        <v>0</v>
      </c>
      <c r="G117" s="10" t="n">
        <v>1</v>
      </c>
      <c r="H117" s="10" t="n">
        <v>0</v>
      </c>
      <c r="I117" s="10" t="n">
        <v>0</v>
      </c>
      <c r="J117" s="3" t="n">
        <f aca="false">IF(COUNT(B117:I117)=8,SUM(B117:I117),"")</f>
        <v>1.5</v>
      </c>
      <c r="K117" s="3" t="str">
        <f aca="false">IF(J117="","",IF(J117&gt;=5,"High",IF(J117&gt;=3.5,"Medium","Low")))</f>
        <v>Low</v>
      </c>
    </row>
    <row r="118" customFormat="false" ht="15" hidden="false" customHeight="false" outlineLevel="0" collapsed="false">
      <c r="A118" s="3" t="str">
        <f aca="false">Studies!A118</f>
        <v>S117</v>
      </c>
      <c r="B118" s="10" t="n">
        <v>1</v>
      </c>
      <c r="C118" s="10" t="n">
        <v>0</v>
      </c>
      <c r="D118" s="10" t="n">
        <v>1</v>
      </c>
      <c r="E118" s="10" t="n">
        <v>0.5</v>
      </c>
      <c r="F118" s="10" t="n">
        <v>0.5</v>
      </c>
      <c r="G118" s="10" t="n">
        <v>0</v>
      </c>
      <c r="H118" s="10" t="n">
        <v>1</v>
      </c>
      <c r="I118" s="10" t="n">
        <v>0</v>
      </c>
      <c r="J118" s="3" t="n">
        <f aca="false">IF(COUNT(B118:I118)=8,SUM(B118:I118),"")</f>
        <v>4</v>
      </c>
      <c r="K118" s="3" t="str">
        <f aca="false">IF(J118="","",IF(J118&gt;=5,"High",IF(J118&gt;=3.5,"Medium","Low")))</f>
        <v>Medium</v>
      </c>
    </row>
    <row r="119" customFormat="false" ht="15" hidden="false" customHeight="false" outlineLevel="0" collapsed="false">
      <c r="A119" s="3" t="str">
        <f aca="false">Studies!A119</f>
        <v>S118</v>
      </c>
      <c r="B119" s="10" t="n">
        <v>1</v>
      </c>
      <c r="C119" s="10" t="n">
        <v>0</v>
      </c>
      <c r="D119" s="10" t="n">
        <v>0.5</v>
      </c>
      <c r="E119" s="10" t="n">
        <v>0.5</v>
      </c>
      <c r="F119" s="10" t="n">
        <v>0.5</v>
      </c>
      <c r="G119" s="10" t="n">
        <v>1</v>
      </c>
      <c r="H119" s="10" t="n">
        <v>1</v>
      </c>
      <c r="I119" s="10" t="n">
        <v>0</v>
      </c>
      <c r="J119" s="3" t="n">
        <f aca="false">IF(COUNT(B119:I119)=8,SUM(B119:I119),"")</f>
        <v>4.5</v>
      </c>
      <c r="K119" s="3" t="str">
        <f aca="false">IF(J119="","",IF(J119&gt;=5,"High",IF(J119&gt;=3.5,"Medium","Low")))</f>
        <v>Medium</v>
      </c>
    </row>
    <row r="120" customFormat="false" ht="15" hidden="false" customHeight="false" outlineLevel="0" collapsed="false">
      <c r="A120" s="3" t="str">
        <f aca="false">Studies!A120</f>
        <v>S119</v>
      </c>
      <c r="B120" s="10" t="n">
        <v>1</v>
      </c>
      <c r="C120" s="10" t="n">
        <v>0</v>
      </c>
      <c r="D120" s="10" t="n">
        <v>0</v>
      </c>
      <c r="E120" s="10" t="n">
        <v>0.5</v>
      </c>
      <c r="F120" s="10" t="n">
        <v>0</v>
      </c>
      <c r="G120" s="10" t="n">
        <v>0.5</v>
      </c>
      <c r="H120" s="10" t="n">
        <v>0</v>
      </c>
      <c r="I120" s="10" t="n">
        <v>0</v>
      </c>
      <c r="J120" s="3" t="n">
        <f aca="false">IF(COUNT(B120:I120)=8,SUM(B120:I120),"")</f>
        <v>2</v>
      </c>
      <c r="K120" s="3" t="str">
        <f aca="false">IF(J120="","",IF(J120&gt;=5,"High",IF(J120&gt;=3.5,"Medium","Low")))</f>
        <v>Low</v>
      </c>
    </row>
    <row r="121" customFormat="false" ht="15" hidden="false" customHeight="false" outlineLevel="0" collapsed="false">
      <c r="A121" s="3" t="str">
        <f aca="false">Studies!A121</f>
        <v>S120</v>
      </c>
      <c r="B121" s="10" t="n">
        <v>1</v>
      </c>
      <c r="C121" s="10" t="n">
        <v>0</v>
      </c>
      <c r="D121" s="10" t="n">
        <v>1</v>
      </c>
      <c r="E121" s="10" t="n">
        <v>1</v>
      </c>
      <c r="F121" s="10" t="n">
        <v>1</v>
      </c>
      <c r="G121" s="10" t="n">
        <v>1</v>
      </c>
      <c r="H121" s="10" t="n">
        <v>1</v>
      </c>
      <c r="I121" s="10" t="n">
        <v>0</v>
      </c>
      <c r="J121" s="3" t="n">
        <f aca="false">IF(COUNT(B121:I121)=8,SUM(B121:I121),"")</f>
        <v>6</v>
      </c>
      <c r="K121" s="3" t="str">
        <f aca="false">IF(J121="","",IF(J121&gt;=5,"High",IF(J121&gt;=3.5,"Medium","Low")))</f>
        <v>High</v>
      </c>
    </row>
    <row r="122" customFormat="false" ht="15" hidden="false" customHeight="false" outlineLevel="0" collapsed="false">
      <c r="A122" s="3" t="str">
        <f aca="false">Studies!A122</f>
        <v>S121</v>
      </c>
      <c r="B122" s="10" t="n">
        <v>0.5</v>
      </c>
      <c r="C122" s="10" t="n">
        <v>0</v>
      </c>
      <c r="D122" s="10" t="n">
        <v>0</v>
      </c>
      <c r="E122" s="10" t="n">
        <v>0.5</v>
      </c>
      <c r="F122" s="10" t="n">
        <v>0</v>
      </c>
      <c r="G122" s="10" t="n">
        <v>0</v>
      </c>
      <c r="H122" s="10" t="n">
        <v>0</v>
      </c>
      <c r="I122" s="10" t="n">
        <v>0</v>
      </c>
      <c r="J122" s="3" t="n">
        <f aca="false">IF(COUNT(B122:I122)=8,SUM(B122:I122),"")</f>
        <v>1</v>
      </c>
      <c r="K122" s="3" t="str">
        <f aca="false">IF(J122="","",IF(J122&gt;=5,"High",IF(J122&gt;=3.5,"Medium","Low")))</f>
        <v>Low</v>
      </c>
    </row>
    <row r="123" customFormat="false" ht="15" hidden="false" customHeight="false" outlineLevel="0" collapsed="false">
      <c r="A123" s="3" t="str">
        <f aca="false">Studies!A123</f>
        <v>S122</v>
      </c>
      <c r="B123" s="10" t="n">
        <v>1</v>
      </c>
      <c r="C123" s="10" t="n">
        <v>0</v>
      </c>
      <c r="D123" s="10" t="n">
        <v>0</v>
      </c>
      <c r="E123" s="10" t="n">
        <v>0</v>
      </c>
      <c r="F123" s="10" t="n">
        <v>0.5</v>
      </c>
      <c r="G123" s="10" t="n">
        <v>1</v>
      </c>
      <c r="H123" s="10" t="n">
        <v>1</v>
      </c>
      <c r="I123" s="10" t="n">
        <v>0</v>
      </c>
      <c r="J123" s="3" t="n">
        <f aca="false">IF(COUNT(B123:I123)=8,SUM(B123:I123),"")</f>
        <v>3.5</v>
      </c>
      <c r="K123" s="3" t="str">
        <f aca="false">IF(J123="","",IF(J123&gt;=5,"High",IF(J123&gt;=3.5,"Medium","Low")))</f>
        <v>Medium</v>
      </c>
    </row>
    <row r="124" customFormat="false" ht="15" hidden="false" customHeight="false" outlineLevel="0" collapsed="false">
      <c r="A124" s="3" t="str">
        <f aca="false">Studies!A124</f>
        <v>S123</v>
      </c>
      <c r="B124" s="10" t="n">
        <v>1</v>
      </c>
      <c r="C124" s="10" t="n">
        <v>0</v>
      </c>
      <c r="D124" s="10" t="n">
        <v>0</v>
      </c>
      <c r="E124" s="10" t="n">
        <v>0.5</v>
      </c>
      <c r="F124" s="10" t="n">
        <v>1</v>
      </c>
      <c r="G124" s="10" t="n">
        <v>1</v>
      </c>
      <c r="H124" s="10" t="n">
        <v>1</v>
      </c>
      <c r="I124" s="10" t="n">
        <v>0</v>
      </c>
      <c r="J124" s="3" t="n">
        <f aca="false">IF(COUNT(B124:I124)=8,SUM(B124:I124),"")</f>
        <v>4.5</v>
      </c>
      <c r="K124" s="3" t="str">
        <f aca="false">IF(J124="","",IF(J124&gt;=5,"High",IF(J124&gt;=3.5,"Medium","Low")))</f>
        <v>Medium</v>
      </c>
    </row>
    <row r="125" customFormat="false" ht="15" hidden="false" customHeight="false" outlineLevel="0" collapsed="false">
      <c r="A125" s="3" t="str">
        <f aca="false">Studies!A125</f>
        <v>S124</v>
      </c>
      <c r="B125" s="10" t="n">
        <v>1</v>
      </c>
      <c r="C125" s="10" t="n">
        <v>0</v>
      </c>
      <c r="D125" s="10" t="n">
        <v>1</v>
      </c>
      <c r="E125" s="10" t="n">
        <v>1</v>
      </c>
      <c r="F125" s="10" t="n">
        <v>1</v>
      </c>
      <c r="G125" s="10" t="n">
        <v>1</v>
      </c>
      <c r="H125" s="10" t="n">
        <v>0</v>
      </c>
      <c r="I125" s="10" t="n">
        <v>0</v>
      </c>
      <c r="J125" s="3" t="n">
        <f aca="false">IF(COUNT(B125:I125)=8,SUM(B125:I125),"")</f>
        <v>5</v>
      </c>
      <c r="K125" s="3" t="str">
        <f aca="false">IF(J125="","",IF(J125&gt;=5,"High",IF(J125&gt;=3.5,"Medium","Low")))</f>
        <v>High</v>
      </c>
    </row>
    <row r="126" customFormat="false" ht="15" hidden="false" customHeight="false" outlineLevel="0" collapsed="false">
      <c r="A126" s="3" t="str">
        <f aca="false">Studies!A126</f>
        <v>S125</v>
      </c>
      <c r="B126" s="10" t="n">
        <v>1</v>
      </c>
      <c r="C126" s="10" t="n">
        <v>0</v>
      </c>
      <c r="D126" s="10" t="n">
        <v>0</v>
      </c>
      <c r="E126" s="10" t="n">
        <v>0.5</v>
      </c>
      <c r="F126" s="10" t="n">
        <v>0</v>
      </c>
      <c r="G126" s="10" t="n">
        <v>0</v>
      </c>
      <c r="H126" s="10" t="n">
        <v>0</v>
      </c>
      <c r="I126" s="10" t="n">
        <v>0</v>
      </c>
      <c r="J126" s="3" t="n">
        <f aca="false">IF(COUNT(B126:I126)=8,SUM(B126:I126),"")</f>
        <v>1.5</v>
      </c>
      <c r="K126" s="3" t="str">
        <f aca="false">IF(J126="","",IF(J126&gt;=5,"High",IF(J126&gt;=3.5,"Medium","Low")))</f>
        <v>Low</v>
      </c>
    </row>
    <row r="127" customFormat="false" ht="15" hidden="false" customHeight="false" outlineLevel="0" collapsed="false">
      <c r="A127" s="3" t="str">
        <f aca="false">Studies!A127</f>
        <v>S126</v>
      </c>
      <c r="B127" s="10" t="n">
        <v>1</v>
      </c>
      <c r="C127" s="10" t="n">
        <v>0</v>
      </c>
      <c r="D127" s="10" t="n">
        <v>0.5</v>
      </c>
      <c r="E127" s="10" t="n">
        <v>0.5</v>
      </c>
      <c r="F127" s="10" t="n">
        <v>0.5</v>
      </c>
      <c r="G127" s="10" t="n">
        <v>1</v>
      </c>
      <c r="H127" s="10" t="n">
        <v>1</v>
      </c>
      <c r="I127" s="10" t="n">
        <v>0</v>
      </c>
      <c r="J127" s="3" t="n">
        <f aca="false">IF(COUNT(B127:I127)=8,SUM(B127:I127),"")</f>
        <v>4.5</v>
      </c>
      <c r="K127" s="3" t="str">
        <f aca="false">IF(J127="","",IF(J127&gt;=5,"High",IF(J127&gt;=3.5,"Medium","Low")))</f>
        <v>Medium</v>
      </c>
    </row>
    <row r="128" customFormat="false" ht="15" hidden="false" customHeight="false" outlineLevel="0" collapsed="false">
      <c r="A128" s="3" t="str">
        <f aca="false">Studies!A128</f>
        <v>S127</v>
      </c>
      <c r="B128" s="10" t="n">
        <v>1</v>
      </c>
      <c r="C128" s="10" t="n">
        <v>0</v>
      </c>
      <c r="D128" s="10" t="n">
        <v>0</v>
      </c>
      <c r="E128" s="10" t="n">
        <v>1</v>
      </c>
      <c r="F128" s="10" t="n">
        <v>0.5</v>
      </c>
      <c r="G128" s="10" t="n">
        <v>1</v>
      </c>
      <c r="H128" s="10" t="n">
        <v>1</v>
      </c>
      <c r="I128" s="10" t="n">
        <v>0</v>
      </c>
      <c r="J128" s="3" t="n">
        <f aca="false">IF(COUNT(B128:I128)=8,SUM(B128:I128),"")</f>
        <v>4.5</v>
      </c>
      <c r="K128" s="3" t="str">
        <f aca="false">IF(J128="","",IF(J128&gt;=5,"High",IF(J128&gt;=3.5,"Medium","Low")))</f>
        <v>Medium</v>
      </c>
    </row>
    <row r="129" customFormat="false" ht="15" hidden="false" customHeight="false" outlineLevel="0" collapsed="false">
      <c r="A129" s="3" t="str">
        <f aca="false">Studies!A129</f>
        <v>S128</v>
      </c>
      <c r="B129" s="10" t="n">
        <v>1</v>
      </c>
      <c r="C129" s="10" t="n">
        <v>0</v>
      </c>
      <c r="D129" s="10" t="n">
        <v>1</v>
      </c>
      <c r="E129" s="10" t="n">
        <v>0.5</v>
      </c>
      <c r="F129" s="10" t="n">
        <v>0</v>
      </c>
      <c r="G129" s="10" t="n">
        <v>1</v>
      </c>
      <c r="H129" s="10" t="n">
        <v>1</v>
      </c>
      <c r="I129" s="10" t="n">
        <v>0</v>
      </c>
      <c r="J129" s="3" t="n">
        <f aca="false">IF(COUNT(B129:I129)=8,SUM(B129:I129),"")</f>
        <v>4.5</v>
      </c>
      <c r="K129" s="3" t="str">
        <f aca="false">IF(J129="","",IF(J129&gt;=5,"High",IF(J129&gt;=3.5,"Medium","Low")))</f>
        <v>Medium</v>
      </c>
    </row>
    <row r="130" customFormat="false" ht="15" hidden="false" customHeight="false" outlineLevel="0" collapsed="false">
      <c r="A130" s="3" t="str">
        <f aca="false">Studies!A130</f>
        <v>S129</v>
      </c>
      <c r="B130" s="10" t="n">
        <v>0.5</v>
      </c>
      <c r="C130" s="10" t="n">
        <v>0</v>
      </c>
      <c r="D130" s="10" t="n">
        <v>0</v>
      </c>
      <c r="E130" s="10" t="n">
        <v>0</v>
      </c>
      <c r="F130" s="10" t="n">
        <v>1</v>
      </c>
      <c r="G130" s="10" t="n">
        <v>0.5</v>
      </c>
      <c r="H130" s="10" t="n">
        <v>1</v>
      </c>
      <c r="I130" s="10" t="n">
        <v>0</v>
      </c>
      <c r="J130" s="3" t="n">
        <f aca="false">IF(COUNT(B130:I130)=8,SUM(B130:I130),"")</f>
        <v>3</v>
      </c>
      <c r="K130" s="3" t="str">
        <f aca="false">IF(J130="","",IF(J130&gt;=5,"High",IF(J130&gt;=3.5,"Medium","Low")))</f>
        <v>Low</v>
      </c>
    </row>
    <row r="131" customFormat="false" ht="15" hidden="false" customHeight="false" outlineLevel="0" collapsed="false">
      <c r="A131" s="3" t="str">
        <f aca="false">Studies!A131</f>
        <v>S130</v>
      </c>
      <c r="B131" s="10" t="n">
        <v>1</v>
      </c>
      <c r="C131" s="10" t="n">
        <v>0</v>
      </c>
      <c r="D131" s="10" t="n">
        <v>1</v>
      </c>
      <c r="E131" s="10" t="n">
        <v>0.5</v>
      </c>
      <c r="F131" s="10" t="n">
        <v>0.5</v>
      </c>
      <c r="G131" s="10" t="n">
        <v>0.5</v>
      </c>
      <c r="H131" s="10" t="n">
        <v>1</v>
      </c>
      <c r="I131" s="10" t="n">
        <v>0</v>
      </c>
      <c r="J131" s="3" t="n">
        <f aca="false">IF(COUNT(B131:I131)=8,SUM(B131:I131),"")</f>
        <v>4.5</v>
      </c>
      <c r="K131" s="3" t="str">
        <f aca="false">IF(J131="","",IF(J131&gt;=5,"High",IF(J131&gt;=3.5,"Medium","Low")))</f>
        <v>Medium</v>
      </c>
    </row>
  </sheetData>
  <dataValidations count="1">
    <dataValidation allowBlank="true" errorStyle="stop" operator="between" showDropDown="false" showErrorMessage="false" showInputMessage="false" sqref="B2:I131" type="list">
      <formula1>"1,0.5,0"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13" min="2" style="0" width="12"/>
    <col collapsed="false" customWidth="true" hidden="false" outlineLevel="0" max="14" min="14" style="0" width="10"/>
  </cols>
  <sheetData>
    <row r="1" customFormat="false" ht="45" hidden="false" customHeight="true" outlineLevel="0" collapsed="false">
      <c r="A1" s="8" t="s">
        <v>9</v>
      </c>
      <c r="B1" s="8" t="s">
        <v>1100</v>
      </c>
      <c r="C1" s="8" t="s">
        <v>1101</v>
      </c>
      <c r="D1" s="8" t="s">
        <v>1102</v>
      </c>
      <c r="E1" s="8" t="s">
        <v>1103</v>
      </c>
      <c r="F1" s="8" t="s">
        <v>1104</v>
      </c>
      <c r="G1" s="8" t="s">
        <v>1105</v>
      </c>
      <c r="H1" s="8" t="s">
        <v>1106</v>
      </c>
      <c r="I1" s="8" t="s">
        <v>1107</v>
      </c>
      <c r="J1" s="8" t="s">
        <v>1108</v>
      </c>
      <c r="K1" s="8" t="s">
        <v>1109</v>
      </c>
      <c r="L1" s="8" t="s">
        <v>1110</v>
      </c>
      <c r="M1" s="8" t="s">
        <v>1111</v>
      </c>
      <c r="N1" s="8" t="s">
        <v>1112</v>
      </c>
    </row>
    <row r="2" customFormat="false" ht="15" hidden="false" customHeight="false" outlineLevel="0" collapsed="false">
      <c r="A2" s="3" t="str">
        <f aca="false">Studies!A2</f>
        <v>S001</v>
      </c>
      <c r="B2" s="10" t="s">
        <v>61</v>
      </c>
      <c r="C2" s="10" t="s">
        <v>66</v>
      </c>
      <c r="D2" s="10" t="s">
        <v>66</v>
      </c>
      <c r="E2" s="10" t="s">
        <v>61</v>
      </c>
      <c r="F2" s="10" t="s">
        <v>66</v>
      </c>
      <c r="G2" s="10" t="s">
        <v>66</v>
      </c>
      <c r="H2" s="10" t="s">
        <v>66</v>
      </c>
      <c r="I2" s="10" t="s">
        <v>66</v>
      </c>
      <c r="J2" s="10" t="s">
        <v>66</v>
      </c>
      <c r="K2" s="10" t="s">
        <v>66</v>
      </c>
      <c r="L2" s="10" t="s">
        <v>66</v>
      </c>
      <c r="M2" s="10" t="s">
        <v>66</v>
      </c>
      <c r="N2" s="3" t="n">
        <f aca="false">COUNTIF(B2:M2,"Y")</f>
        <v>2</v>
      </c>
    </row>
    <row r="3" customFormat="false" ht="15" hidden="false" customHeight="false" outlineLevel="0" collapsed="false">
      <c r="A3" s="3" t="str">
        <f aca="false">Studies!A3</f>
        <v>S002</v>
      </c>
      <c r="B3" s="10" t="s">
        <v>61</v>
      </c>
      <c r="C3" s="10" t="s">
        <v>66</v>
      </c>
      <c r="D3" s="10" t="s">
        <v>66</v>
      </c>
      <c r="E3" s="10" t="s">
        <v>61</v>
      </c>
      <c r="F3" s="10" t="s">
        <v>66</v>
      </c>
      <c r="G3" s="10" t="s">
        <v>66</v>
      </c>
      <c r="H3" s="10" t="s">
        <v>66</v>
      </c>
      <c r="I3" s="10" t="s">
        <v>66</v>
      </c>
      <c r="J3" s="10" t="s">
        <v>66</v>
      </c>
      <c r="K3" s="10" t="s">
        <v>61</v>
      </c>
      <c r="L3" s="10" t="s">
        <v>66</v>
      </c>
      <c r="M3" s="10" t="s">
        <v>66</v>
      </c>
      <c r="N3" s="3" t="n">
        <f aca="false">COUNTIF(B3:M3,"Y")</f>
        <v>3</v>
      </c>
    </row>
    <row r="4" customFormat="false" ht="15" hidden="false" customHeight="false" outlineLevel="0" collapsed="false">
      <c r="A4" s="3" t="str">
        <f aca="false">Studies!A4</f>
        <v>S003</v>
      </c>
      <c r="B4" s="10" t="s">
        <v>61</v>
      </c>
      <c r="C4" s="10" t="s">
        <v>61</v>
      </c>
      <c r="D4" s="10" t="s">
        <v>66</v>
      </c>
      <c r="E4" s="10" t="s">
        <v>61</v>
      </c>
      <c r="F4" s="10" t="s">
        <v>61</v>
      </c>
      <c r="G4" s="10" t="s">
        <v>66</v>
      </c>
      <c r="H4" s="10" t="s">
        <v>61</v>
      </c>
      <c r="I4" s="10" t="s">
        <v>61</v>
      </c>
      <c r="J4" s="10" t="s">
        <v>66</v>
      </c>
      <c r="K4" s="10" t="s">
        <v>61</v>
      </c>
      <c r="L4" s="10" t="s">
        <v>66</v>
      </c>
      <c r="M4" s="10" t="s">
        <v>66</v>
      </c>
      <c r="N4" s="3" t="n">
        <f aca="false">COUNTIF(B4:M4,"Y")</f>
        <v>7</v>
      </c>
    </row>
    <row r="5" customFormat="false" ht="15" hidden="false" customHeight="false" outlineLevel="0" collapsed="false">
      <c r="A5" s="3" t="str">
        <f aca="false">Studies!A5</f>
        <v>S004</v>
      </c>
      <c r="B5" s="10" t="s">
        <v>61</v>
      </c>
      <c r="C5" s="10" t="s">
        <v>66</v>
      </c>
      <c r="D5" s="10" t="s">
        <v>66</v>
      </c>
      <c r="E5" s="10" t="s">
        <v>66</v>
      </c>
      <c r="F5" s="10" t="s">
        <v>66</v>
      </c>
      <c r="G5" s="10" t="s">
        <v>66</v>
      </c>
      <c r="H5" s="10" t="s">
        <v>66</v>
      </c>
      <c r="I5" s="10" t="s">
        <v>66</v>
      </c>
      <c r="J5" s="10" t="s">
        <v>66</v>
      </c>
      <c r="K5" s="10" t="s">
        <v>61</v>
      </c>
      <c r="L5" s="10" t="s">
        <v>66</v>
      </c>
      <c r="M5" s="10" t="s">
        <v>66</v>
      </c>
      <c r="N5" s="3" t="n">
        <f aca="false">COUNTIF(B5:M5,"Y")</f>
        <v>2</v>
      </c>
    </row>
    <row r="6" customFormat="false" ht="15" hidden="false" customHeight="false" outlineLevel="0" collapsed="false">
      <c r="A6" s="3" t="str">
        <f aca="false">Studies!A6</f>
        <v>S005</v>
      </c>
      <c r="B6" s="10" t="s">
        <v>61</v>
      </c>
      <c r="C6" s="10" t="s">
        <v>66</v>
      </c>
      <c r="D6" s="10" t="s">
        <v>66</v>
      </c>
      <c r="E6" s="10" t="s">
        <v>66</v>
      </c>
      <c r="F6" s="10" t="s">
        <v>66</v>
      </c>
      <c r="G6" s="10" t="s">
        <v>66</v>
      </c>
      <c r="H6" s="10" t="s">
        <v>66</v>
      </c>
      <c r="I6" s="10" t="s">
        <v>61</v>
      </c>
      <c r="J6" s="10" t="s">
        <v>66</v>
      </c>
      <c r="K6" s="10" t="s">
        <v>66</v>
      </c>
      <c r="L6" s="10" t="s">
        <v>66</v>
      </c>
      <c r="M6" s="10" t="s">
        <v>66</v>
      </c>
      <c r="N6" s="3" t="n">
        <f aca="false">COUNTIF(B6:M6,"Y")</f>
        <v>2</v>
      </c>
    </row>
    <row r="7" customFormat="false" ht="15" hidden="false" customHeight="false" outlineLevel="0" collapsed="false">
      <c r="A7" s="3" t="str">
        <f aca="false">Studies!A7</f>
        <v>S006</v>
      </c>
      <c r="B7" s="10" t="s">
        <v>61</v>
      </c>
      <c r="C7" s="10" t="s">
        <v>61</v>
      </c>
      <c r="D7" s="10" t="s">
        <v>66</v>
      </c>
      <c r="E7" s="10" t="s">
        <v>66</v>
      </c>
      <c r="F7" s="10" t="s">
        <v>66</v>
      </c>
      <c r="G7" s="10" t="s">
        <v>66</v>
      </c>
      <c r="H7" s="10" t="s">
        <v>66</v>
      </c>
      <c r="I7" s="10" t="s">
        <v>66</v>
      </c>
      <c r="J7" s="10" t="s">
        <v>61</v>
      </c>
      <c r="K7" s="10" t="s">
        <v>61</v>
      </c>
      <c r="L7" s="10" t="s">
        <v>61</v>
      </c>
      <c r="M7" s="10" t="s">
        <v>66</v>
      </c>
      <c r="N7" s="3" t="n">
        <f aca="false">COUNTIF(B7:M7,"Y")</f>
        <v>5</v>
      </c>
    </row>
    <row r="8" customFormat="false" ht="15" hidden="false" customHeight="false" outlineLevel="0" collapsed="false">
      <c r="A8" s="3" t="str">
        <f aca="false">Studies!A8</f>
        <v>S007</v>
      </c>
      <c r="B8" s="10" t="s">
        <v>61</v>
      </c>
      <c r="C8" s="10" t="s">
        <v>61</v>
      </c>
      <c r="D8" s="10" t="s">
        <v>66</v>
      </c>
      <c r="E8" s="10" t="s">
        <v>66</v>
      </c>
      <c r="F8" s="10" t="s">
        <v>66</v>
      </c>
      <c r="G8" s="10" t="s">
        <v>66</v>
      </c>
      <c r="H8" s="10" t="s">
        <v>61</v>
      </c>
      <c r="I8" s="10" t="s">
        <v>66</v>
      </c>
      <c r="J8" s="10" t="s">
        <v>66</v>
      </c>
      <c r="K8" s="10" t="s">
        <v>66</v>
      </c>
      <c r="L8" s="10" t="s">
        <v>66</v>
      </c>
      <c r="M8" s="10" t="s">
        <v>66</v>
      </c>
      <c r="N8" s="3" t="n">
        <f aca="false">COUNTIF(B8:M8,"Y")</f>
        <v>3</v>
      </c>
    </row>
    <row r="9" customFormat="false" ht="15" hidden="false" customHeight="false" outlineLevel="0" collapsed="false">
      <c r="A9" s="3" t="str">
        <f aca="false">Studies!A9</f>
        <v>S008</v>
      </c>
      <c r="B9" s="10" t="s">
        <v>66</v>
      </c>
      <c r="C9" s="10" t="s">
        <v>66</v>
      </c>
      <c r="D9" s="10" t="s">
        <v>66</v>
      </c>
      <c r="E9" s="10" t="s">
        <v>61</v>
      </c>
      <c r="F9" s="10" t="s">
        <v>66</v>
      </c>
      <c r="G9" s="10" t="s">
        <v>66</v>
      </c>
      <c r="H9" s="10" t="s">
        <v>66</v>
      </c>
      <c r="I9" s="10" t="s">
        <v>66</v>
      </c>
      <c r="J9" s="10" t="s">
        <v>66</v>
      </c>
      <c r="K9" s="10" t="s">
        <v>66</v>
      </c>
      <c r="L9" s="10" t="s">
        <v>66</v>
      </c>
      <c r="M9" s="10" t="s">
        <v>66</v>
      </c>
      <c r="N9" s="3" t="n">
        <f aca="false">COUNTIF(B9:M9,"Y")</f>
        <v>1</v>
      </c>
    </row>
    <row r="10" customFormat="false" ht="15" hidden="false" customHeight="false" outlineLevel="0" collapsed="false">
      <c r="A10" s="3" t="str">
        <f aca="false">Studies!A10</f>
        <v>S009</v>
      </c>
      <c r="B10" s="10" t="s">
        <v>61</v>
      </c>
      <c r="C10" s="10" t="s">
        <v>61</v>
      </c>
      <c r="D10" s="10" t="s">
        <v>66</v>
      </c>
      <c r="E10" s="10" t="s">
        <v>61</v>
      </c>
      <c r="F10" s="10" t="s">
        <v>66</v>
      </c>
      <c r="G10" s="10" t="s">
        <v>66</v>
      </c>
      <c r="H10" s="10" t="s">
        <v>61</v>
      </c>
      <c r="I10" s="10" t="s">
        <v>61</v>
      </c>
      <c r="J10" s="10" t="s">
        <v>66</v>
      </c>
      <c r="K10" s="10" t="s">
        <v>61</v>
      </c>
      <c r="L10" s="10" t="s">
        <v>61</v>
      </c>
      <c r="M10" s="10" t="s">
        <v>66</v>
      </c>
      <c r="N10" s="3" t="n">
        <f aca="false">COUNTIF(B10:M10,"Y")</f>
        <v>7</v>
      </c>
    </row>
    <row r="11" customFormat="false" ht="15" hidden="false" customHeight="false" outlineLevel="0" collapsed="false">
      <c r="A11" s="3" t="str">
        <f aca="false">Studies!A11</f>
        <v>S010</v>
      </c>
      <c r="B11" s="10" t="s">
        <v>61</v>
      </c>
      <c r="C11" s="10" t="s">
        <v>61</v>
      </c>
      <c r="D11" s="10" t="s">
        <v>66</v>
      </c>
      <c r="E11" s="10" t="s">
        <v>66</v>
      </c>
      <c r="F11" s="10" t="s">
        <v>66</v>
      </c>
      <c r="G11" s="10" t="s">
        <v>66</v>
      </c>
      <c r="H11" s="10" t="s">
        <v>66</v>
      </c>
      <c r="I11" s="10" t="s">
        <v>66</v>
      </c>
      <c r="J11" s="10" t="s">
        <v>66</v>
      </c>
      <c r="K11" s="10" t="s">
        <v>66</v>
      </c>
      <c r="L11" s="10" t="s">
        <v>61</v>
      </c>
      <c r="M11" s="10" t="s">
        <v>66</v>
      </c>
      <c r="N11" s="3" t="n">
        <f aca="false">COUNTIF(B11:M11,"Y")</f>
        <v>3</v>
      </c>
    </row>
    <row r="12" customFormat="false" ht="15" hidden="false" customHeight="false" outlineLevel="0" collapsed="false">
      <c r="A12" s="3" t="str">
        <f aca="false">Studies!A12</f>
        <v>S011</v>
      </c>
      <c r="B12" s="10" t="s">
        <v>66</v>
      </c>
      <c r="C12" s="10" t="s">
        <v>66</v>
      </c>
      <c r="D12" s="10" t="s">
        <v>66</v>
      </c>
      <c r="E12" s="10" t="s">
        <v>66</v>
      </c>
      <c r="F12" s="10" t="s">
        <v>66</v>
      </c>
      <c r="G12" s="10" t="s">
        <v>66</v>
      </c>
      <c r="H12" s="10" t="s">
        <v>61</v>
      </c>
      <c r="I12" s="10" t="s">
        <v>66</v>
      </c>
      <c r="J12" s="10" t="s">
        <v>66</v>
      </c>
      <c r="K12" s="10" t="s">
        <v>66</v>
      </c>
      <c r="L12" s="10" t="s">
        <v>66</v>
      </c>
      <c r="M12" s="10" t="s">
        <v>66</v>
      </c>
      <c r="N12" s="3" t="n">
        <f aca="false">COUNTIF(B12:M12,"Y")</f>
        <v>1</v>
      </c>
    </row>
    <row r="13" customFormat="false" ht="15" hidden="false" customHeight="false" outlineLevel="0" collapsed="false">
      <c r="A13" s="3" t="str">
        <f aca="false">Studies!A13</f>
        <v>S012</v>
      </c>
      <c r="B13" s="10" t="s">
        <v>61</v>
      </c>
      <c r="C13" s="10" t="s">
        <v>66</v>
      </c>
      <c r="D13" s="10" t="s">
        <v>66</v>
      </c>
      <c r="E13" s="10" t="s">
        <v>61</v>
      </c>
      <c r="F13" s="10" t="s">
        <v>61</v>
      </c>
      <c r="G13" s="10" t="s">
        <v>66</v>
      </c>
      <c r="H13" s="10" t="s">
        <v>66</v>
      </c>
      <c r="I13" s="10" t="s">
        <v>66</v>
      </c>
      <c r="J13" s="10" t="s">
        <v>66</v>
      </c>
      <c r="K13" s="10" t="s">
        <v>66</v>
      </c>
      <c r="L13" s="10" t="s">
        <v>66</v>
      </c>
      <c r="M13" s="10" t="s">
        <v>66</v>
      </c>
      <c r="N13" s="3" t="n">
        <f aca="false">COUNTIF(B13:M13,"Y")</f>
        <v>3</v>
      </c>
    </row>
    <row r="14" customFormat="false" ht="15" hidden="false" customHeight="false" outlineLevel="0" collapsed="false">
      <c r="A14" s="3" t="str">
        <f aca="false">Studies!A14</f>
        <v>S013</v>
      </c>
      <c r="B14" s="10" t="s">
        <v>61</v>
      </c>
      <c r="C14" s="10" t="s">
        <v>61</v>
      </c>
      <c r="D14" s="10" t="s">
        <v>66</v>
      </c>
      <c r="E14" s="10" t="s">
        <v>66</v>
      </c>
      <c r="F14" s="10" t="s">
        <v>61</v>
      </c>
      <c r="G14" s="10" t="s">
        <v>66</v>
      </c>
      <c r="H14" s="10" t="s">
        <v>66</v>
      </c>
      <c r="I14" s="10" t="s">
        <v>61</v>
      </c>
      <c r="J14" s="10" t="s">
        <v>66</v>
      </c>
      <c r="K14" s="10" t="s">
        <v>61</v>
      </c>
      <c r="L14" s="10" t="s">
        <v>61</v>
      </c>
      <c r="M14" s="10" t="s">
        <v>66</v>
      </c>
      <c r="N14" s="3" t="n">
        <f aca="false">COUNTIF(B14:M14,"Y")</f>
        <v>6</v>
      </c>
    </row>
    <row r="15" customFormat="false" ht="15" hidden="false" customHeight="false" outlineLevel="0" collapsed="false">
      <c r="A15" s="3" t="str">
        <f aca="false">Studies!A15</f>
        <v>S014</v>
      </c>
      <c r="B15" s="10" t="s">
        <v>61</v>
      </c>
      <c r="C15" s="10" t="s">
        <v>61</v>
      </c>
      <c r="D15" s="10" t="s">
        <v>66</v>
      </c>
      <c r="E15" s="10" t="s">
        <v>61</v>
      </c>
      <c r="F15" s="10" t="s">
        <v>61</v>
      </c>
      <c r="G15" s="10" t="s">
        <v>66</v>
      </c>
      <c r="H15" s="10" t="s">
        <v>61</v>
      </c>
      <c r="I15" s="10" t="s">
        <v>66</v>
      </c>
      <c r="J15" s="10" t="s">
        <v>66</v>
      </c>
      <c r="K15" s="10" t="s">
        <v>66</v>
      </c>
      <c r="L15" s="10" t="s">
        <v>66</v>
      </c>
      <c r="M15" s="10" t="s">
        <v>66</v>
      </c>
      <c r="N15" s="3" t="n">
        <f aca="false">COUNTIF(B15:M15,"Y")</f>
        <v>5</v>
      </c>
    </row>
    <row r="16" customFormat="false" ht="15" hidden="false" customHeight="false" outlineLevel="0" collapsed="false">
      <c r="A16" s="3" t="str">
        <f aca="false">Studies!A16</f>
        <v>S015</v>
      </c>
      <c r="B16" s="10" t="s">
        <v>61</v>
      </c>
      <c r="C16" s="10" t="s">
        <v>66</v>
      </c>
      <c r="D16" s="10" t="s">
        <v>66</v>
      </c>
      <c r="E16" s="10" t="s">
        <v>61</v>
      </c>
      <c r="F16" s="10" t="s">
        <v>66</v>
      </c>
      <c r="G16" s="10" t="s">
        <v>66</v>
      </c>
      <c r="H16" s="10" t="s">
        <v>66</v>
      </c>
      <c r="I16" s="10" t="s">
        <v>61</v>
      </c>
      <c r="J16" s="10" t="s">
        <v>66</v>
      </c>
      <c r="K16" s="10" t="s">
        <v>61</v>
      </c>
      <c r="L16" s="10" t="s">
        <v>61</v>
      </c>
      <c r="M16" s="10" t="s">
        <v>66</v>
      </c>
      <c r="N16" s="3" t="n">
        <f aca="false">COUNTIF(B16:M16,"Y")</f>
        <v>5</v>
      </c>
    </row>
    <row r="17" customFormat="false" ht="15" hidden="false" customHeight="false" outlineLevel="0" collapsed="false">
      <c r="A17" s="3" t="str">
        <f aca="false">Studies!A17</f>
        <v>S016</v>
      </c>
      <c r="B17" s="10" t="s">
        <v>66</v>
      </c>
      <c r="C17" s="10" t="s">
        <v>66</v>
      </c>
      <c r="D17" s="10" t="s">
        <v>66</v>
      </c>
      <c r="E17" s="10" t="s">
        <v>61</v>
      </c>
      <c r="F17" s="10" t="s">
        <v>66</v>
      </c>
      <c r="G17" s="10" t="s">
        <v>61</v>
      </c>
      <c r="H17" s="10" t="s">
        <v>66</v>
      </c>
      <c r="I17" s="10" t="s">
        <v>66</v>
      </c>
      <c r="J17" s="10" t="s">
        <v>66</v>
      </c>
      <c r="K17" s="10" t="s">
        <v>66</v>
      </c>
      <c r="L17" s="10" t="s">
        <v>66</v>
      </c>
      <c r="M17" s="10" t="s">
        <v>66</v>
      </c>
      <c r="N17" s="3" t="n">
        <f aca="false">COUNTIF(B17:M17,"Y")</f>
        <v>2</v>
      </c>
    </row>
    <row r="18" customFormat="false" ht="15" hidden="false" customHeight="false" outlineLevel="0" collapsed="false">
      <c r="A18" s="3" t="str">
        <f aca="false">Studies!A18</f>
        <v>S017</v>
      </c>
      <c r="B18" s="10" t="s">
        <v>66</v>
      </c>
      <c r="C18" s="10" t="s">
        <v>61</v>
      </c>
      <c r="D18" s="10" t="s">
        <v>66</v>
      </c>
      <c r="E18" s="10" t="s">
        <v>66</v>
      </c>
      <c r="F18" s="10" t="s">
        <v>66</v>
      </c>
      <c r="G18" s="10" t="s">
        <v>66</v>
      </c>
      <c r="H18" s="10" t="s">
        <v>66</v>
      </c>
      <c r="I18" s="10" t="s">
        <v>66</v>
      </c>
      <c r="J18" s="10" t="s">
        <v>66</v>
      </c>
      <c r="K18" s="10" t="s">
        <v>66</v>
      </c>
      <c r="L18" s="10" t="s">
        <v>66</v>
      </c>
      <c r="M18" s="10" t="s">
        <v>66</v>
      </c>
      <c r="N18" s="3" t="n">
        <f aca="false">COUNTIF(B18:M18,"Y")</f>
        <v>1</v>
      </c>
    </row>
    <row r="19" customFormat="false" ht="15" hidden="false" customHeight="false" outlineLevel="0" collapsed="false">
      <c r="A19" s="3" t="str">
        <f aca="false">Studies!A19</f>
        <v>S018</v>
      </c>
      <c r="B19" s="10" t="s">
        <v>61</v>
      </c>
      <c r="C19" s="10" t="s">
        <v>66</v>
      </c>
      <c r="D19" s="10" t="s">
        <v>66</v>
      </c>
      <c r="E19" s="10" t="s">
        <v>66</v>
      </c>
      <c r="F19" s="10" t="s">
        <v>66</v>
      </c>
      <c r="G19" s="10" t="s">
        <v>66</v>
      </c>
      <c r="H19" s="10" t="s">
        <v>61</v>
      </c>
      <c r="I19" s="10" t="s">
        <v>66</v>
      </c>
      <c r="J19" s="10" t="s">
        <v>66</v>
      </c>
      <c r="K19" s="10" t="s">
        <v>61</v>
      </c>
      <c r="L19" s="10" t="s">
        <v>66</v>
      </c>
      <c r="M19" s="10" t="s">
        <v>66</v>
      </c>
      <c r="N19" s="3" t="n">
        <f aca="false">COUNTIF(B19:M19,"Y")</f>
        <v>3</v>
      </c>
    </row>
    <row r="20" customFormat="false" ht="15" hidden="false" customHeight="false" outlineLevel="0" collapsed="false">
      <c r="A20" s="3" t="str">
        <f aca="false">Studies!A20</f>
        <v>S019</v>
      </c>
      <c r="B20" s="10" t="s">
        <v>61</v>
      </c>
      <c r="C20" s="10" t="s">
        <v>66</v>
      </c>
      <c r="D20" s="10" t="s">
        <v>66</v>
      </c>
      <c r="E20" s="10" t="s">
        <v>66</v>
      </c>
      <c r="F20" s="10" t="s">
        <v>66</v>
      </c>
      <c r="G20" s="10" t="s">
        <v>61</v>
      </c>
      <c r="H20" s="10" t="s">
        <v>66</v>
      </c>
      <c r="I20" s="10" t="s">
        <v>61</v>
      </c>
      <c r="J20" s="10" t="s">
        <v>66</v>
      </c>
      <c r="K20" s="10" t="s">
        <v>61</v>
      </c>
      <c r="L20" s="10" t="s">
        <v>66</v>
      </c>
      <c r="M20" s="10" t="s">
        <v>66</v>
      </c>
      <c r="N20" s="3" t="n">
        <f aca="false">COUNTIF(B20:M20,"Y")</f>
        <v>4</v>
      </c>
    </row>
    <row r="21" customFormat="false" ht="15" hidden="false" customHeight="false" outlineLevel="0" collapsed="false">
      <c r="A21" s="3" t="str">
        <f aca="false">Studies!A21</f>
        <v>S020</v>
      </c>
      <c r="B21" s="10" t="s">
        <v>66</v>
      </c>
      <c r="C21" s="10" t="s">
        <v>61</v>
      </c>
      <c r="D21" s="10" t="s">
        <v>66</v>
      </c>
      <c r="E21" s="10" t="s">
        <v>61</v>
      </c>
      <c r="F21" s="10" t="s">
        <v>61</v>
      </c>
      <c r="G21" s="10" t="s">
        <v>66</v>
      </c>
      <c r="H21" s="10" t="s">
        <v>66</v>
      </c>
      <c r="I21" s="10" t="s">
        <v>66</v>
      </c>
      <c r="J21" s="10" t="s">
        <v>61</v>
      </c>
      <c r="K21" s="10" t="s">
        <v>66</v>
      </c>
      <c r="L21" s="10" t="s">
        <v>66</v>
      </c>
      <c r="M21" s="10" t="s">
        <v>66</v>
      </c>
      <c r="N21" s="3" t="n">
        <f aca="false">COUNTIF(B21:M21,"Y")</f>
        <v>4</v>
      </c>
    </row>
    <row r="22" customFormat="false" ht="15" hidden="false" customHeight="false" outlineLevel="0" collapsed="false">
      <c r="A22" s="3" t="str">
        <f aca="false">Studies!A22</f>
        <v>S021</v>
      </c>
      <c r="B22" s="10" t="s">
        <v>61</v>
      </c>
      <c r="C22" s="10" t="s">
        <v>66</v>
      </c>
      <c r="D22" s="10" t="s">
        <v>66</v>
      </c>
      <c r="E22" s="10" t="s">
        <v>61</v>
      </c>
      <c r="F22" s="10" t="s">
        <v>66</v>
      </c>
      <c r="G22" s="10" t="s">
        <v>66</v>
      </c>
      <c r="H22" s="10" t="s">
        <v>61</v>
      </c>
      <c r="I22" s="10" t="s">
        <v>61</v>
      </c>
      <c r="J22" s="10" t="s">
        <v>66</v>
      </c>
      <c r="K22" s="10" t="s">
        <v>61</v>
      </c>
      <c r="L22" s="10" t="s">
        <v>66</v>
      </c>
      <c r="M22" s="10" t="s">
        <v>66</v>
      </c>
      <c r="N22" s="3" t="n">
        <f aca="false">COUNTIF(B22:M22,"Y")</f>
        <v>5</v>
      </c>
    </row>
    <row r="23" customFormat="false" ht="15" hidden="false" customHeight="false" outlineLevel="0" collapsed="false">
      <c r="A23" s="3" t="str">
        <f aca="false">Studies!A23</f>
        <v>S022</v>
      </c>
      <c r="B23" s="10" t="s">
        <v>61</v>
      </c>
      <c r="C23" s="10" t="s">
        <v>66</v>
      </c>
      <c r="D23" s="10" t="s">
        <v>66</v>
      </c>
      <c r="E23" s="10" t="s">
        <v>66</v>
      </c>
      <c r="F23" s="10" t="s">
        <v>66</v>
      </c>
      <c r="G23" s="10" t="s">
        <v>66</v>
      </c>
      <c r="H23" s="10" t="s">
        <v>61</v>
      </c>
      <c r="I23" s="10" t="s">
        <v>66</v>
      </c>
      <c r="J23" s="10" t="s">
        <v>66</v>
      </c>
      <c r="K23" s="10" t="s">
        <v>66</v>
      </c>
      <c r="L23" s="10" t="s">
        <v>61</v>
      </c>
      <c r="M23" s="10" t="s">
        <v>66</v>
      </c>
      <c r="N23" s="3" t="n">
        <f aca="false">COUNTIF(B23:M23,"Y")</f>
        <v>3</v>
      </c>
    </row>
    <row r="24" customFormat="false" ht="15" hidden="false" customHeight="false" outlineLevel="0" collapsed="false">
      <c r="A24" s="3" t="str">
        <f aca="false">Studies!A24</f>
        <v>S023</v>
      </c>
      <c r="B24" s="10" t="s">
        <v>61</v>
      </c>
      <c r="C24" s="10" t="s">
        <v>61</v>
      </c>
      <c r="D24" s="10" t="s">
        <v>66</v>
      </c>
      <c r="E24" s="10" t="s">
        <v>61</v>
      </c>
      <c r="F24" s="10" t="s">
        <v>61</v>
      </c>
      <c r="G24" s="10" t="s">
        <v>61</v>
      </c>
      <c r="H24" s="10" t="s">
        <v>66</v>
      </c>
      <c r="I24" s="10" t="s">
        <v>66</v>
      </c>
      <c r="J24" s="10" t="s">
        <v>66</v>
      </c>
      <c r="K24" s="10" t="s">
        <v>61</v>
      </c>
      <c r="L24" s="10" t="s">
        <v>61</v>
      </c>
      <c r="M24" s="10" t="s">
        <v>66</v>
      </c>
      <c r="N24" s="3" t="n">
        <f aca="false">COUNTIF(B24:M24,"Y")</f>
        <v>7</v>
      </c>
    </row>
    <row r="25" customFormat="false" ht="15" hidden="false" customHeight="false" outlineLevel="0" collapsed="false">
      <c r="A25" s="3" t="str">
        <f aca="false">Studies!A25</f>
        <v>S024</v>
      </c>
      <c r="B25" s="10" t="s">
        <v>61</v>
      </c>
      <c r="C25" s="10" t="s">
        <v>66</v>
      </c>
      <c r="D25" s="10" t="s">
        <v>66</v>
      </c>
      <c r="E25" s="10" t="s">
        <v>61</v>
      </c>
      <c r="F25" s="10" t="s">
        <v>66</v>
      </c>
      <c r="G25" s="10" t="s">
        <v>66</v>
      </c>
      <c r="H25" s="10" t="s">
        <v>66</v>
      </c>
      <c r="I25" s="10" t="s">
        <v>66</v>
      </c>
      <c r="J25" s="10" t="s">
        <v>66</v>
      </c>
      <c r="K25" s="10" t="s">
        <v>66</v>
      </c>
      <c r="L25" s="10" t="s">
        <v>66</v>
      </c>
      <c r="M25" s="10" t="s">
        <v>66</v>
      </c>
      <c r="N25" s="3" t="n">
        <f aca="false">COUNTIF(B25:M25,"Y")</f>
        <v>2</v>
      </c>
    </row>
    <row r="26" customFormat="false" ht="15" hidden="false" customHeight="false" outlineLevel="0" collapsed="false">
      <c r="A26" s="3" t="str">
        <f aca="false">Studies!A26</f>
        <v>S025</v>
      </c>
      <c r="B26" s="10" t="s">
        <v>61</v>
      </c>
      <c r="C26" s="10" t="s">
        <v>61</v>
      </c>
      <c r="D26" s="10" t="s">
        <v>66</v>
      </c>
      <c r="E26" s="10" t="s">
        <v>66</v>
      </c>
      <c r="F26" s="10" t="s">
        <v>61</v>
      </c>
      <c r="G26" s="10" t="s">
        <v>61</v>
      </c>
      <c r="H26" s="10" t="s">
        <v>61</v>
      </c>
      <c r="I26" s="10" t="s">
        <v>66</v>
      </c>
      <c r="J26" s="10" t="s">
        <v>66</v>
      </c>
      <c r="K26" s="10" t="s">
        <v>66</v>
      </c>
      <c r="L26" s="10" t="s">
        <v>61</v>
      </c>
      <c r="M26" s="10" t="s">
        <v>66</v>
      </c>
      <c r="N26" s="3" t="n">
        <f aca="false">COUNTIF(B26:M26,"Y")</f>
        <v>6</v>
      </c>
    </row>
    <row r="27" customFormat="false" ht="15" hidden="false" customHeight="false" outlineLevel="0" collapsed="false">
      <c r="A27" s="3" t="str">
        <f aca="false">Studies!A27</f>
        <v>S026</v>
      </c>
      <c r="B27" s="10" t="s">
        <v>61</v>
      </c>
      <c r="C27" s="10" t="s">
        <v>66</v>
      </c>
      <c r="D27" s="10" t="s">
        <v>66</v>
      </c>
      <c r="E27" s="10" t="s">
        <v>61</v>
      </c>
      <c r="F27" s="10" t="s">
        <v>66</v>
      </c>
      <c r="G27" s="10" t="s">
        <v>66</v>
      </c>
      <c r="H27" s="10" t="s">
        <v>66</v>
      </c>
      <c r="I27" s="10" t="s">
        <v>66</v>
      </c>
      <c r="J27" s="10" t="s">
        <v>66</v>
      </c>
      <c r="K27" s="10" t="s">
        <v>61</v>
      </c>
      <c r="L27" s="10" t="s">
        <v>66</v>
      </c>
      <c r="M27" s="10" t="s">
        <v>66</v>
      </c>
      <c r="N27" s="3" t="n">
        <f aca="false">COUNTIF(B27:M27,"Y")</f>
        <v>3</v>
      </c>
    </row>
    <row r="28" customFormat="false" ht="15" hidden="false" customHeight="false" outlineLevel="0" collapsed="false">
      <c r="A28" s="3" t="str">
        <f aca="false">Studies!A28</f>
        <v>S027</v>
      </c>
      <c r="B28" s="10" t="s">
        <v>61</v>
      </c>
      <c r="C28" s="10" t="s">
        <v>66</v>
      </c>
      <c r="D28" s="10" t="s">
        <v>66</v>
      </c>
      <c r="E28" s="10" t="s">
        <v>66</v>
      </c>
      <c r="F28" s="10" t="s">
        <v>66</v>
      </c>
      <c r="G28" s="10" t="s">
        <v>66</v>
      </c>
      <c r="H28" s="10" t="s">
        <v>66</v>
      </c>
      <c r="I28" s="10" t="s">
        <v>66</v>
      </c>
      <c r="J28" s="10" t="s">
        <v>66</v>
      </c>
      <c r="K28" s="10" t="s">
        <v>66</v>
      </c>
      <c r="L28" s="10" t="s">
        <v>61</v>
      </c>
      <c r="M28" s="10" t="s">
        <v>66</v>
      </c>
      <c r="N28" s="3" t="n">
        <f aca="false">COUNTIF(B28:M28,"Y")</f>
        <v>2</v>
      </c>
    </row>
    <row r="29" customFormat="false" ht="15" hidden="false" customHeight="false" outlineLevel="0" collapsed="false">
      <c r="A29" s="3" t="str">
        <f aca="false">Studies!A29</f>
        <v>S028</v>
      </c>
      <c r="B29" s="10" t="s">
        <v>61</v>
      </c>
      <c r="C29" s="10" t="s">
        <v>61</v>
      </c>
      <c r="D29" s="10" t="s">
        <v>66</v>
      </c>
      <c r="E29" s="10" t="s">
        <v>61</v>
      </c>
      <c r="F29" s="10" t="s">
        <v>66</v>
      </c>
      <c r="G29" s="10" t="s">
        <v>66</v>
      </c>
      <c r="H29" s="10" t="s">
        <v>66</v>
      </c>
      <c r="I29" s="10" t="s">
        <v>66</v>
      </c>
      <c r="J29" s="10" t="s">
        <v>66</v>
      </c>
      <c r="K29" s="10" t="s">
        <v>61</v>
      </c>
      <c r="L29" s="10" t="s">
        <v>66</v>
      </c>
      <c r="M29" s="10" t="s">
        <v>66</v>
      </c>
      <c r="N29" s="3" t="n">
        <f aca="false">COUNTIF(B29:M29,"Y")</f>
        <v>4</v>
      </c>
    </row>
    <row r="30" customFormat="false" ht="15" hidden="false" customHeight="false" outlineLevel="0" collapsed="false">
      <c r="A30" s="3" t="str">
        <f aca="false">Studies!A30</f>
        <v>S029</v>
      </c>
      <c r="B30" s="10" t="s">
        <v>61</v>
      </c>
      <c r="C30" s="10" t="s">
        <v>66</v>
      </c>
      <c r="D30" s="10" t="s">
        <v>66</v>
      </c>
      <c r="E30" s="10" t="s">
        <v>66</v>
      </c>
      <c r="F30" s="10" t="s">
        <v>66</v>
      </c>
      <c r="G30" s="10" t="s">
        <v>66</v>
      </c>
      <c r="H30" s="10" t="s">
        <v>66</v>
      </c>
      <c r="I30" s="10" t="s">
        <v>66</v>
      </c>
      <c r="J30" s="10" t="s">
        <v>66</v>
      </c>
      <c r="K30" s="10" t="s">
        <v>61</v>
      </c>
      <c r="L30" s="10" t="s">
        <v>61</v>
      </c>
      <c r="M30" s="10" t="s">
        <v>66</v>
      </c>
      <c r="N30" s="3" t="n">
        <f aca="false">COUNTIF(B30:M30,"Y")</f>
        <v>3</v>
      </c>
    </row>
    <row r="31" customFormat="false" ht="15" hidden="false" customHeight="false" outlineLevel="0" collapsed="false">
      <c r="A31" s="3" t="str">
        <f aca="false">Studies!A31</f>
        <v>S030</v>
      </c>
      <c r="B31" s="10" t="s">
        <v>61</v>
      </c>
      <c r="C31" s="10" t="s">
        <v>61</v>
      </c>
      <c r="D31" s="10" t="s">
        <v>66</v>
      </c>
      <c r="E31" s="10" t="s">
        <v>66</v>
      </c>
      <c r="F31" s="10" t="s">
        <v>66</v>
      </c>
      <c r="G31" s="10" t="s">
        <v>66</v>
      </c>
      <c r="H31" s="10" t="s">
        <v>66</v>
      </c>
      <c r="I31" s="10" t="s">
        <v>66</v>
      </c>
      <c r="J31" s="10" t="s">
        <v>66</v>
      </c>
      <c r="K31" s="10" t="s">
        <v>61</v>
      </c>
      <c r="L31" s="10" t="s">
        <v>61</v>
      </c>
      <c r="M31" s="10" t="s">
        <v>66</v>
      </c>
      <c r="N31" s="3" t="n">
        <f aca="false">COUNTIF(B31:M31,"Y")</f>
        <v>4</v>
      </c>
    </row>
    <row r="32" customFormat="false" ht="15" hidden="false" customHeight="false" outlineLevel="0" collapsed="false">
      <c r="A32" s="3" t="str">
        <f aca="false">Studies!A32</f>
        <v>S031</v>
      </c>
      <c r="B32" s="10" t="s">
        <v>61</v>
      </c>
      <c r="C32" s="10" t="s">
        <v>66</v>
      </c>
      <c r="D32" s="10" t="s">
        <v>66</v>
      </c>
      <c r="E32" s="10" t="s">
        <v>66</v>
      </c>
      <c r="F32" s="10" t="s">
        <v>66</v>
      </c>
      <c r="G32" s="10" t="s">
        <v>66</v>
      </c>
      <c r="H32" s="10" t="s">
        <v>66</v>
      </c>
      <c r="I32" s="10" t="s">
        <v>66</v>
      </c>
      <c r="J32" s="10" t="s">
        <v>66</v>
      </c>
      <c r="K32" s="10" t="s">
        <v>66</v>
      </c>
      <c r="L32" s="10" t="s">
        <v>61</v>
      </c>
      <c r="M32" s="10" t="s">
        <v>66</v>
      </c>
      <c r="N32" s="3" t="n">
        <f aca="false">COUNTIF(B32:M32,"Y")</f>
        <v>2</v>
      </c>
    </row>
    <row r="33" customFormat="false" ht="15" hidden="false" customHeight="false" outlineLevel="0" collapsed="false">
      <c r="A33" s="3" t="str">
        <f aca="false">Studies!A33</f>
        <v>S032</v>
      </c>
      <c r="B33" s="10" t="s">
        <v>61</v>
      </c>
      <c r="C33" s="10" t="s">
        <v>61</v>
      </c>
      <c r="D33" s="10" t="s">
        <v>66</v>
      </c>
      <c r="E33" s="10" t="s">
        <v>61</v>
      </c>
      <c r="F33" s="10" t="s">
        <v>66</v>
      </c>
      <c r="G33" s="10" t="s">
        <v>66</v>
      </c>
      <c r="H33" s="10" t="s">
        <v>61</v>
      </c>
      <c r="I33" s="10" t="s">
        <v>66</v>
      </c>
      <c r="J33" s="10" t="s">
        <v>66</v>
      </c>
      <c r="K33" s="10" t="s">
        <v>61</v>
      </c>
      <c r="L33" s="10" t="s">
        <v>66</v>
      </c>
      <c r="M33" s="10" t="s">
        <v>66</v>
      </c>
      <c r="N33" s="3" t="n">
        <f aca="false">COUNTIF(B33:M33,"Y")</f>
        <v>5</v>
      </c>
    </row>
    <row r="34" customFormat="false" ht="15" hidden="false" customHeight="false" outlineLevel="0" collapsed="false">
      <c r="A34" s="3" t="str">
        <f aca="false">Studies!A34</f>
        <v>S033</v>
      </c>
      <c r="B34" s="10" t="s">
        <v>61</v>
      </c>
      <c r="C34" s="10" t="s">
        <v>66</v>
      </c>
      <c r="D34" s="10" t="s">
        <v>66</v>
      </c>
      <c r="E34" s="10" t="s">
        <v>61</v>
      </c>
      <c r="F34" s="10" t="s">
        <v>61</v>
      </c>
      <c r="G34" s="10" t="s">
        <v>66</v>
      </c>
      <c r="H34" s="10" t="s">
        <v>66</v>
      </c>
      <c r="I34" s="10" t="s">
        <v>66</v>
      </c>
      <c r="J34" s="10" t="s">
        <v>66</v>
      </c>
      <c r="K34" s="10" t="s">
        <v>66</v>
      </c>
      <c r="L34" s="10" t="s">
        <v>61</v>
      </c>
      <c r="M34" s="10" t="s">
        <v>66</v>
      </c>
      <c r="N34" s="3" t="n">
        <f aca="false">COUNTIF(B34:M34,"Y")</f>
        <v>4</v>
      </c>
    </row>
    <row r="35" customFormat="false" ht="15" hidden="false" customHeight="false" outlineLevel="0" collapsed="false">
      <c r="A35" s="3" t="str">
        <f aca="false">Studies!A35</f>
        <v>S034</v>
      </c>
      <c r="B35" s="10" t="s">
        <v>66</v>
      </c>
      <c r="C35" s="10" t="s">
        <v>66</v>
      </c>
      <c r="D35" s="10" t="s">
        <v>66</v>
      </c>
      <c r="E35" s="10" t="s">
        <v>66</v>
      </c>
      <c r="F35" s="10" t="s">
        <v>66</v>
      </c>
      <c r="G35" s="10" t="s">
        <v>66</v>
      </c>
      <c r="H35" s="10" t="s">
        <v>66</v>
      </c>
      <c r="I35" s="10" t="s">
        <v>66</v>
      </c>
      <c r="J35" s="10" t="s">
        <v>66</v>
      </c>
      <c r="K35" s="10" t="s">
        <v>66</v>
      </c>
      <c r="L35" s="10" t="s">
        <v>66</v>
      </c>
      <c r="M35" s="10" t="s">
        <v>66</v>
      </c>
      <c r="N35" s="3" t="n">
        <f aca="false">COUNTIF(B35:M35,"Y")</f>
        <v>0</v>
      </c>
    </row>
    <row r="36" customFormat="false" ht="15" hidden="false" customHeight="false" outlineLevel="0" collapsed="false">
      <c r="A36" s="3" t="str">
        <f aca="false">Studies!A36</f>
        <v>S035</v>
      </c>
      <c r="B36" s="10" t="s">
        <v>61</v>
      </c>
      <c r="C36" s="10" t="s">
        <v>61</v>
      </c>
      <c r="D36" s="10" t="s">
        <v>66</v>
      </c>
      <c r="E36" s="10" t="s">
        <v>61</v>
      </c>
      <c r="F36" s="10" t="s">
        <v>66</v>
      </c>
      <c r="G36" s="10" t="s">
        <v>66</v>
      </c>
      <c r="H36" s="10" t="s">
        <v>66</v>
      </c>
      <c r="I36" s="10" t="s">
        <v>66</v>
      </c>
      <c r="J36" s="10" t="s">
        <v>66</v>
      </c>
      <c r="K36" s="10" t="s">
        <v>66</v>
      </c>
      <c r="L36" s="10" t="s">
        <v>61</v>
      </c>
      <c r="M36" s="10" t="s">
        <v>66</v>
      </c>
      <c r="N36" s="3" t="n">
        <f aca="false">COUNTIF(B36:M36,"Y")</f>
        <v>4</v>
      </c>
    </row>
    <row r="37" customFormat="false" ht="15" hidden="false" customHeight="false" outlineLevel="0" collapsed="false">
      <c r="A37" s="3" t="str">
        <f aca="false">Studies!A37</f>
        <v>S036</v>
      </c>
      <c r="B37" s="10" t="s">
        <v>61</v>
      </c>
      <c r="C37" s="10" t="s">
        <v>61</v>
      </c>
      <c r="D37" s="10" t="s">
        <v>66</v>
      </c>
      <c r="E37" s="10" t="s">
        <v>66</v>
      </c>
      <c r="F37" s="10" t="s">
        <v>61</v>
      </c>
      <c r="G37" s="10" t="s">
        <v>66</v>
      </c>
      <c r="H37" s="10" t="s">
        <v>61</v>
      </c>
      <c r="I37" s="10" t="s">
        <v>66</v>
      </c>
      <c r="J37" s="10" t="s">
        <v>66</v>
      </c>
      <c r="K37" s="10" t="s">
        <v>66</v>
      </c>
      <c r="L37" s="10" t="s">
        <v>66</v>
      </c>
      <c r="M37" s="10" t="s">
        <v>66</v>
      </c>
      <c r="N37" s="3" t="n">
        <f aca="false">COUNTIF(B37:M37,"Y")</f>
        <v>4</v>
      </c>
    </row>
    <row r="38" customFormat="false" ht="15" hidden="false" customHeight="false" outlineLevel="0" collapsed="false">
      <c r="A38" s="3" t="str">
        <f aca="false">Studies!A38</f>
        <v>S037</v>
      </c>
      <c r="B38" s="10" t="s">
        <v>61</v>
      </c>
      <c r="C38" s="10" t="s">
        <v>61</v>
      </c>
      <c r="D38" s="10" t="s">
        <v>66</v>
      </c>
      <c r="E38" s="10" t="s">
        <v>61</v>
      </c>
      <c r="F38" s="10" t="s">
        <v>66</v>
      </c>
      <c r="G38" s="10" t="s">
        <v>66</v>
      </c>
      <c r="H38" s="10" t="s">
        <v>66</v>
      </c>
      <c r="I38" s="10" t="s">
        <v>61</v>
      </c>
      <c r="J38" s="10" t="s">
        <v>66</v>
      </c>
      <c r="K38" s="10" t="s">
        <v>61</v>
      </c>
      <c r="L38" s="10" t="s">
        <v>61</v>
      </c>
      <c r="M38" s="10" t="s">
        <v>66</v>
      </c>
      <c r="N38" s="3" t="n">
        <f aca="false">COUNTIF(B38:M38,"Y")</f>
        <v>6</v>
      </c>
    </row>
    <row r="39" customFormat="false" ht="15" hidden="false" customHeight="false" outlineLevel="0" collapsed="false">
      <c r="A39" s="3" t="str">
        <f aca="false">Studies!A39</f>
        <v>S038</v>
      </c>
      <c r="B39" s="10" t="s">
        <v>61</v>
      </c>
      <c r="C39" s="10" t="s">
        <v>61</v>
      </c>
      <c r="D39" s="10" t="s">
        <v>66</v>
      </c>
      <c r="E39" s="10" t="s">
        <v>61</v>
      </c>
      <c r="F39" s="10" t="s">
        <v>61</v>
      </c>
      <c r="G39" s="10" t="s">
        <v>66</v>
      </c>
      <c r="H39" s="10" t="s">
        <v>66</v>
      </c>
      <c r="I39" s="10" t="s">
        <v>66</v>
      </c>
      <c r="J39" s="10" t="s">
        <v>66</v>
      </c>
      <c r="K39" s="10" t="s">
        <v>61</v>
      </c>
      <c r="L39" s="10" t="s">
        <v>66</v>
      </c>
      <c r="M39" s="10" t="s">
        <v>66</v>
      </c>
      <c r="N39" s="3" t="n">
        <f aca="false">COUNTIF(B39:M39,"Y")</f>
        <v>5</v>
      </c>
    </row>
    <row r="40" customFormat="false" ht="15" hidden="false" customHeight="false" outlineLevel="0" collapsed="false">
      <c r="A40" s="3" t="str">
        <f aca="false">Studies!A40</f>
        <v>S039</v>
      </c>
      <c r="B40" s="10" t="s">
        <v>61</v>
      </c>
      <c r="C40" s="10" t="s">
        <v>61</v>
      </c>
      <c r="D40" s="10" t="s">
        <v>66</v>
      </c>
      <c r="E40" s="10" t="s">
        <v>66</v>
      </c>
      <c r="F40" s="10" t="s">
        <v>66</v>
      </c>
      <c r="G40" s="10" t="s">
        <v>66</v>
      </c>
      <c r="H40" s="10" t="s">
        <v>61</v>
      </c>
      <c r="I40" s="10" t="s">
        <v>66</v>
      </c>
      <c r="J40" s="10" t="s">
        <v>66</v>
      </c>
      <c r="K40" s="10" t="s">
        <v>61</v>
      </c>
      <c r="L40" s="10" t="s">
        <v>61</v>
      </c>
      <c r="M40" s="10" t="s">
        <v>66</v>
      </c>
      <c r="N40" s="3" t="n">
        <f aca="false">COUNTIF(B40:M40,"Y")</f>
        <v>5</v>
      </c>
    </row>
    <row r="41" customFormat="false" ht="15" hidden="false" customHeight="false" outlineLevel="0" collapsed="false">
      <c r="A41" s="3" t="str">
        <f aca="false">Studies!A41</f>
        <v>S040</v>
      </c>
      <c r="B41" s="10" t="s">
        <v>61</v>
      </c>
      <c r="C41" s="10" t="s">
        <v>61</v>
      </c>
      <c r="D41" s="10" t="s">
        <v>66</v>
      </c>
      <c r="E41" s="10" t="s">
        <v>61</v>
      </c>
      <c r="F41" s="10" t="s">
        <v>66</v>
      </c>
      <c r="G41" s="10" t="s">
        <v>66</v>
      </c>
      <c r="H41" s="10" t="s">
        <v>61</v>
      </c>
      <c r="I41" s="10" t="s">
        <v>66</v>
      </c>
      <c r="J41" s="10" t="s">
        <v>61</v>
      </c>
      <c r="K41" s="10" t="s">
        <v>66</v>
      </c>
      <c r="L41" s="10" t="s">
        <v>66</v>
      </c>
      <c r="M41" s="10" t="s">
        <v>66</v>
      </c>
      <c r="N41" s="3" t="n">
        <f aca="false">COUNTIF(B41:M41,"Y")</f>
        <v>5</v>
      </c>
    </row>
    <row r="42" customFormat="false" ht="15" hidden="false" customHeight="false" outlineLevel="0" collapsed="false">
      <c r="A42" s="3" t="str">
        <f aca="false">Studies!A42</f>
        <v>S041</v>
      </c>
      <c r="B42" s="10" t="s">
        <v>61</v>
      </c>
      <c r="C42" s="10" t="s">
        <v>61</v>
      </c>
      <c r="D42" s="10" t="s">
        <v>66</v>
      </c>
      <c r="E42" s="10" t="s">
        <v>66</v>
      </c>
      <c r="F42" s="10" t="s">
        <v>66</v>
      </c>
      <c r="G42" s="10" t="s">
        <v>66</v>
      </c>
      <c r="H42" s="10" t="s">
        <v>66</v>
      </c>
      <c r="I42" s="10" t="s">
        <v>66</v>
      </c>
      <c r="J42" s="10" t="s">
        <v>66</v>
      </c>
      <c r="K42" s="10" t="s">
        <v>66</v>
      </c>
      <c r="L42" s="10" t="s">
        <v>66</v>
      </c>
      <c r="M42" s="10" t="s">
        <v>66</v>
      </c>
      <c r="N42" s="3" t="n">
        <f aca="false">COUNTIF(B42:M42,"Y")</f>
        <v>2</v>
      </c>
    </row>
    <row r="43" customFormat="false" ht="15" hidden="false" customHeight="false" outlineLevel="0" collapsed="false">
      <c r="A43" s="3" t="str">
        <f aca="false">Studies!A43</f>
        <v>S042</v>
      </c>
      <c r="B43" s="10" t="s">
        <v>61</v>
      </c>
      <c r="C43" s="10" t="s">
        <v>66</v>
      </c>
      <c r="D43" s="10" t="s">
        <v>66</v>
      </c>
      <c r="E43" s="10" t="s">
        <v>66</v>
      </c>
      <c r="F43" s="10" t="s">
        <v>66</v>
      </c>
      <c r="G43" s="10" t="s">
        <v>66</v>
      </c>
      <c r="H43" s="10" t="s">
        <v>66</v>
      </c>
      <c r="I43" s="10" t="s">
        <v>66</v>
      </c>
      <c r="J43" s="10" t="s">
        <v>66</v>
      </c>
      <c r="K43" s="10" t="s">
        <v>61</v>
      </c>
      <c r="L43" s="10" t="s">
        <v>61</v>
      </c>
      <c r="M43" s="10" t="s">
        <v>66</v>
      </c>
      <c r="N43" s="3" t="n">
        <f aca="false">COUNTIF(B43:M43,"Y")</f>
        <v>3</v>
      </c>
    </row>
    <row r="44" customFormat="false" ht="15" hidden="false" customHeight="false" outlineLevel="0" collapsed="false">
      <c r="A44" s="3" t="str">
        <f aca="false">Studies!A44</f>
        <v>S043</v>
      </c>
      <c r="B44" s="10" t="s">
        <v>61</v>
      </c>
      <c r="C44" s="10" t="s">
        <v>66</v>
      </c>
      <c r="D44" s="10" t="s">
        <v>66</v>
      </c>
      <c r="E44" s="10" t="s">
        <v>61</v>
      </c>
      <c r="F44" s="10" t="s">
        <v>66</v>
      </c>
      <c r="G44" s="10" t="s">
        <v>66</v>
      </c>
      <c r="H44" s="10" t="s">
        <v>61</v>
      </c>
      <c r="I44" s="10" t="s">
        <v>66</v>
      </c>
      <c r="J44" s="10" t="s">
        <v>66</v>
      </c>
      <c r="K44" s="10" t="s">
        <v>61</v>
      </c>
      <c r="L44" s="10" t="s">
        <v>61</v>
      </c>
      <c r="M44" s="10" t="s">
        <v>66</v>
      </c>
      <c r="N44" s="3" t="n">
        <f aca="false">COUNTIF(B44:M44,"Y")</f>
        <v>5</v>
      </c>
    </row>
    <row r="45" customFormat="false" ht="15" hidden="false" customHeight="false" outlineLevel="0" collapsed="false">
      <c r="A45" s="3" t="str">
        <f aca="false">Studies!A45</f>
        <v>S044</v>
      </c>
      <c r="B45" s="10" t="s">
        <v>61</v>
      </c>
      <c r="C45" s="10" t="s">
        <v>61</v>
      </c>
      <c r="D45" s="10" t="s">
        <v>66</v>
      </c>
      <c r="E45" s="10" t="s">
        <v>61</v>
      </c>
      <c r="F45" s="10" t="s">
        <v>66</v>
      </c>
      <c r="G45" s="10" t="s">
        <v>66</v>
      </c>
      <c r="H45" s="10" t="s">
        <v>61</v>
      </c>
      <c r="I45" s="10" t="s">
        <v>66</v>
      </c>
      <c r="J45" s="10" t="s">
        <v>61</v>
      </c>
      <c r="K45" s="10" t="s">
        <v>61</v>
      </c>
      <c r="L45" s="10" t="s">
        <v>66</v>
      </c>
      <c r="M45" s="10" t="s">
        <v>66</v>
      </c>
      <c r="N45" s="3" t="n">
        <f aca="false">COUNTIF(B45:M45,"Y")</f>
        <v>6</v>
      </c>
    </row>
    <row r="46" customFormat="false" ht="15" hidden="false" customHeight="false" outlineLevel="0" collapsed="false">
      <c r="A46" s="3" t="str">
        <f aca="false">Studies!A46</f>
        <v>S045</v>
      </c>
      <c r="B46" s="10" t="s">
        <v>61</v>
      </c>
      <c r="C46" s="10" t="s">
        <v>61</v>
      </c>
      <c r="D46" s="10" t="s">
        <v>66</v>
      </c>
      <c r="E46" s="10" t="s">
        <v>61</v>
      </c>
      <c r="F46" s="10" t="s">
        <v>66</v>
      </c>
      <c r="G46" s="10" t="s">
        <v>66</v>
      </c>
      <c r="H46" s="10" t="s">
        <v>66</v>
      </c>
      <c r="I46" s="10" t="s">
        <v>66</v>
      </c>
      <c r="J46" s="10" t="s">
        <v>66</v>
      </c>
      <c r="K46" s="10" t="s">
        <v>61</v>
      </c>
      <c r="L46" s="10" t="s">
        <v>66</v>
      </c>
      <c r="M46" s="10" t="s">
        <v>66</v>
      </c>
      <c r="N46" s="3" t="n">
        <f aca="false">COUNTIF(B46:M46,"Y")</f>
        <v>4</v>
      </c>
    </row>
    <row r="47" customFormat="false" ht="15" hidden="false" customHeight="false" outlineLevel="0" collapsed="false">
      <c r="A47" s="3" t="str">
        <f aca="false">Studies!A47</f>
        <v>S046</v>
      </c>
      <c r="B47" s="10" t="s">
        <v>66</v>
      </c>
      <c r="C47" s="10" t="s">
        <v>66</v>
      </c>
      <c r="D47" s="10" t="s">
        <v>66</v>
      </c>
      <c r="E47" s="10" t="s">
        <v>61</v>
      </c>
      <c r="F47" s="10" t="s">
        <v>66</v>
      </c>
      <c r="G47" s="10" t="s">
        <v>61</v>
      </c>
      <c r="H47" s="10" t="s">
        <v>61</v>
      </c>
      <c r="I47" s="10" t="s">
        <v>66</v>
      </c>
      <c r="J47" s="10" t="s">
        <v>66</v>
      </c>
      <c r="K47" s="10" t="s">
        <v>66</v>
      </c>
      <c r="L47" s="10" t="s">
        <v>66</v>
      </c>
      <c r="M47" s="10" t="s">
        <v>66</v>
      </c>
      <c r="N47" s="3" t="n">
        <f aca="false">COUNTIF(B47:M47,"Y")</f>
        <v>3</v>
      </c>
    </row>
    <row r="48" customFormat="false" ht="15" hidden="false" customHeight="false" outlineLevel="0" collapsed="false">
      <c r="A48" s="3" t="str">
        <f aca="false">Studies!A48</f>
        <v>S047</v>
      </c>
      <c r="B48" s="10" t="s">
        <v>61</v>
      </c>
      <c r="C48" s="10" t="s">
        <v>61</v>
      </c>
      <c r="D48" s="10" t="s">
        <v>66</v>
      </c>
      <c r="E48" s="10" t="s">
        <v>66</v>
      </c>
      <c r="F48" s="10" t="s">
        <v>61</v>
      </c>
      <c r="G48" s="10" t="s">
        <v>66</v>
      </c>
      <c r="H48" s="10" t="s">
        <v>66</v>
      </c>
      <c r="I48" s="10" t="s">
        <v>66</v>
      </c>
      <c r="J48" s="10" t="s">
        <v>66</v>
      </c>
      <c r="K48" s="10" t="s">
        <v>61</v>
      </c>
      <c r="L48" s="10" t="s">
        <v>61</v>
      </c>
      <c r="M48" s="10" t="s">
        <v>66</v>
      </c>
      <c r="N48" s="3" t="n">
        <f aca="false">COUNTIF(B48:M48,"Y")</f>
        <v>5</v>
      </c>
    </row>
    <row r="49" customFormat="false" ht="15" hidden="false" customHeight="false" outlineLevel="0" collapsed="false">
      <c r="A49" s="3" t="str">
        <f aca="false">Studies!A49</f>
        <v>S048</v>
      </c>
      <c r="B49" s="10" t="s">
        <v>61</v>
      </c>
      <c r="C49" s="10" t="s">
        <v>61</v>
      </c>
      <c r="D49" s="10" t="s">
        <v>66</v>
      </c>
      <c r="E49" s="10" t="s">
        <v>61</v>
      </c>
      <c r="F49" s="10" t="s">
        <v>66</v>
      </c>
      <c r="G49" s="10" t="s">
        <v>66</v>
      </c>
      <c r="H49" s="10" t="s">
        <v>61</v>
      </c>
      <c r="I49" s="10" t="s">
        <v>66</v>
      </c>
      <c r="J49" s="10" t="s">
        <v>66</v>
      </c>
      <c r="K49" s="10" t="s">
        <v>61</v>
      </c>
      <c r="L49" s="10" t="s">
        <v>61</v>
      </c>
      <c r="M49" s="10" t="s">
        <v>61</v>
      </c>
      <c r="N49" s="3" t="n">
        <f aca="false">COUNTIF(B49:M49,"Y")</f>
        <v>7</v>
      </c>
    </row>
    <row r="50" customFormat="false" ht="15" hidden="false" customHeight="false" outlineLevel="0" collapsed="false">
      <c r="A50" s="3" t="str">
        <f aca="false">Studies!A50</f>
        <v>S049</v>
      </c>
      <c r="B50" s="10" t="s">
        <v>61</v>
      </c>
      <c r="C50" s="10" t="s">
        <v>61</v>
      </c>
      <c r="D50" s="10" t="s">
        <v>66</v>
      </c>
      <c r="E50" s="10" t="s">
        <v>61</v>
      </c>
      <c r="F50" s="10" t="s">
        <v>66</v>
      </c>
      <c r="G50" s="10" t="s">
        <v>66</v>
      </c>
      <c r="H50" s="10" t="s">
        <v>66</v>
      </c>
      <c r="I50" s="10" t="s">
        <v>66</v>
      </c>
      <c r="J50" s="10" t="s">
        <v>66</v>
      </c>
      <c r="K50" s="10" t="s">
        <v>66</v>
      </c>
      <c r="L50" s="10" t="s">
        <v>61</v>
      </c>
      <c r="M50" s="10" t="s">
        <v>66</v>
      </c>
      <c r="N50" s="3" t="n">
        <f aca="false">COUNTIF(B50:M50,"Y")</f>
        <v>4</v>
      </c>
    </row>
    <row r="51" customFormat="false" ht="15" hidden="false" customHeight="false" outlineLevel="0" collapsed="false">
      <c r="A51" s="3" t="str">
        <f aca="false">Studies!A51</f>
        <v>S050</v>
      </c>
      <c r="B51" s="10" t="s">
        <v>61</v>
      </c>
      <c r="C51" s="10" t="s">
        <v>61</v>
      </c>
      <c r="D51" s="10" t="s">
        <v>61</v>
      </c>
      <c r="E51" s="10" t="s">
        <v>61</v>
      </c>
      <c r="F51" s="10" t="s">
        <v>66</v>
      </c>
      <c r="G51" s="10" t="s">
        <v>66</v>
      </c>
      <c r="H51" s="10" t="s">
        <v>66</v>
      </c>
      <c r="I51" s="10" t="s">
        <v>66</v>
      </c>
      <c r="J51" s="10" t="s">
        <v>66</v>
      </c>
      <c r="K51" s="10" t="s">
        <v>61</v>
      </c>
      <c r="L51" s="10" t="s">
        <v>61</v>
      </c>
      <c r="M51" s="10" t="s">
        <v>66</v>
      </c>
      <c r="N51" s="3" t="n">
        <f aca="false">COUNTIF(B51:M51,"Y")</f>
        <v>6</v>
      </c>
    </row>
    <row r="52" customFormat="false" ht="15" hidden="false" customHeight="false" outlineLevel="0" collapsed="false">
      <c r="A52" s="3" t="str">
        <f aca="false">Studies!A52</f>
        <v>S051</v>
      </c>
      <c r="B52" s="10" t="s">
        <v>66</v>
      </c>
      <c r="C52" s="10" t="s">
        <v>66</v>
      </c>
      <c r="D52" s="10" t="s">
        <v>66</v>
      </c>
      <c r="E52" s="10" t="s">
        <v>66</v>
      </c>
      <c r="F52" s="10" t="s">
        <v>61</v>
      </c>
      <c r="G52" s="10" t="s">
        <v>66</v>
      </c>
      <c r="H52" s="10" t="s">
        <v>66</v>
      </c>
      <c r="I52" s="10" t="s">
        <v>66</v>
      </c>
      <c r="J52" s="10" t="s">
        <v>61</v>
      </c>
      <c r="K52" s="10" t="s">
        <v>61</v>
      </c>
      <c r="L52" s="10" t="s">
        <v>66</v>
      </c>
      <c r="M52" s="10" t="s">
        <v>66</v>
      </c>
      <c r="N52" s="3" t="n">
        <f aca="false">COUNTIF(B52:M52,"Y")</f>
        <v>3</v>
      </c>
    </row>
    <row r="53" customFormat="false" ht="15" hidden="false" customHeight="false" outlineLevel="0" collapsed="false">
      <c r="A53" s="3" t="str">
        <f aca="false">Studies!A53</f>
        <v>S052</v>
      </c>
      <c r="B53" s="10" t="s">
        <v>61</v>
      </c>
      <c r="C53" s="10" t="s">
        <v>66</v>
      </c>
      <c r="D53" s="10" t="s">
        <v>66</v>
      </c>
      <c r="E53" s="10" t="s">
        <v>66</v>
      </c>
      <c r="F53" s="10" t="s">
        <v>66</v>
      </c>
      <c r="G53" s="10" t="s">
        <v>66</v>
      </c>
      <c r="H53" s="10" t="s">
        <v>66</v>
      </c>
      <c r="I53" s="10" t="s">
        <v>66</v>
      </c>
      <c r="J53" s="10" t="s">
        <v>66</v>
      </c>
      <c r="K53" s="10" t="s">
        <v>66</v>
      </c>
      <c r="L53" s="10" t="s">
        <v>66</v>
      </c>
      <c r="M53" s="10" t="s">
        <v>66</v>
      </c>
      <c r="N53" s="3" t="n">
        <f aca="false">COUNTIF(B53:M53,"Y")</f>
        <v>1</v>
      </c>
    </row>
    <row r="54" customFormat="false" ht="15" hidden="false" customHeight="false" outlineLevel="0" collapsed="false">
      <c r="A54" s="3" t="str">
        <f aca="false">Studies!A54</f>
        <v>S053</v>
      </c>
      <c r="B54" s="10" t="s">
        <v>61</v>
      </c>
      <c r="C54" s="10" t="s">
        <v>61</v>
      </c>
      <c r="D54" s="10" t="s">
        <v>66</v>
      </c>
      <c r="E54" s="10" t="s">
        <v>61</v>
      </c>
      <c r="F54" s="10" t="s">
        <v>61</v>
      </c>
      <c r="G54" s="10" t="s">
        <v>66</v>
      </c>
      <c r="H54" s="10" t="s">
        <v>61</v>
      </c>
      <c r="I54" s="10" t="s">
        <v>66</v>
      </c>
      <c r="J54" s="10" t="s">
        <v>66</v>
      </c>
      <c r="K54" s="10" t="s">
        <v>61</v>
      </c>
      <c r="L54" s="10" t="s">
        <v>61</v>
      </c>
      <c r="M54" s="10" t="s">
        <v>66</v>
      </c>
      <c r="N54" s="3" t="n">
        <f aca="false">COUNTIF(B54:M54,"Y")</f>
        <v>7</v>
      </c>
    </row>
    <row r="55" customFormat="false" ht="15" hidden="false" customHeight="false" outlineLevel="0" collapsed="false">
      <c r="A55" s="3" t="str">
        <f aca="false">Studies!A55</f>
        <v>S054</v>
      </c>
      <c r="B55" s="10" t="s">
        <v>61</v>
      </c>
      <c r="C55" s="10" t="s">
        <v>61</v>
      </c>
      <c r="D55" s="10" t="s">
        <v>66</v>
      </c>
      <c r="E55" s="10" t="s">
        <v>66</v>
      </c>
      <c r="F55" s="10" t="s">
        <v>66</v>
      </c>
      <c r="G55" s="10" t="s">
        <v>66</v>
      </c>
      <c r="H55" s="10" t="s">
        <v>61</v>
      </c>
      <c r="I55" s="10" t="s">
        <v>66</v>
      </c>
      <c r="J55" s="10" t="s">
        <v>66</v>
      </c>
      <c r="K55" s="10" t="s">
        <v>66</v>
      </c>
      <c r="L55" s="10" t="s">
        <v>66</v>
      </c>
      <c r="M55" s="10" t="s">
        <v>66</v>
      </c>
      <c r="N55" s="3" t="n">
        <f aca="false">COUNTIF(B55:M55,"Y")</f>
        <v>3</v>
      </c>
    </row>
    <row r="56" customFormat="false" ht="15" hidden="false" customHeight="false" outlineLevel="0" collapsed="false">
      <c r="A56" s="3" t="str">
        <f aca="false">Studies!A56</f>
        <v>S055</v>
      </c>
      <c r="B56" s="10" t="s">
        <v>61</v>
      </c>
      <c r="C56" s="10" t="s">
        <v>66</v>
      </c>
      <c r="D56" s="10" t="s">
        <v>61</v>
      </c>
      <c r="E56" s="10" t="s">
        <v>61</v>
      </c>
      <c r="F56" s="10" t="s">
        <v>61</v>
      </c>
      <c r="G56" s="10" t="s">
        <v>61</v>
      </c>
      <c r="H56" s="10" t="s">
        <v>61</v>
      </c>
      <c r="I56" s="10" t="s">
        <v>66</v>
      </c>
      <c r="J56" s="10" t="s">
        <v>61</v>
      </c>
      <c r="K56" s="10" t="s">
        <v>61</v>
      </c>
      <c r="L56" s="10" t="s">
        <v>61</v>
      </c>
      <c r="M56" s="10" t="s">
        <v>66</v>
      </c>
      <c r="N56" s="3" t="n">
        <f aca="false">COUNTIF(B56:M56,"Y")</f>
        <v>9</v>
      </c>
    </row>
    <row r="57" customFormat="false" ht="15" hidden="false" customHeight="false" outlineLevel="0" collapsed="false">
      <c r="A57" s="3" t="str">
        <f aca="false">Studies!A57</f>
        <v>S056</v>
      </c>
      <c r="B57" s="10" t="s">
        <v>61</v>
      </c>
      <c r="C57" s="10" t="s">
        <v>66</v>
      </c>
      <c r="D57" s="10" t="s">
        <v>66</v>
      </c>
      <c r="E57" s="10" t="s">
        <v>66</v>
      </c>
      <c r="F57" s="10" t="s">
        <v>66</v>
      </c>
      <c r="G57" s="10" t="s">
        <v>66</v>
      </c>
      <c r="H57" s="10" t="s">
        <v>66</v>
      </c>
      <c r="I57" s="10" t="s">
        <v>66</v>
      </c>
      <c r="J57" s="10" t="s">
        <v>66</v>
      </c>
      <c r="K57" s="10" t="s">
        <v>66</v>
      </c>
      <c r="L57" s="10" t="s">
        <v>61</v>
      </c>
      <c r="M57" s="10" t="s">
        <v>66</v>
      </c>
      <c r="N57" s="3" t="n">
        <f aca="false">COUNTIF(B57:M57,"Y")</f>
        <v>2</v>
      </c>
    </row>
    <row r="58" customFormat="false" ht="15" hidden="false" customHeight="false" outlineLevel="0" collapsed="false">
      <c r="A58" s="3" t="str">
        <f aca="false">Studies!A58</f>
        <v>S057</v>
      </c>
      <c r="B58" s="10" t="s">
        <v>61</v>
      </c>
      <c r="C58" s="10" t="s">
        <v>66</v>
      </c>
      <c r="D58" s="10" t="s">
        <v>66</v>
      </c>
      <c r="E58" s="10" t="s">
        <v>66</v>
      </c>
      <c r="F58" s="10" t="s">
        <v>61</v>
      </c>
      <c r="G58" s="10" t="s">
        <v>66</v>
      </c>
      <c r="H58" s="10" t="s">
        <v>66</v>
      </c>
      <c r="I58" s="10" t="s">
        <v>66</v>
      </c>
      <c r="J58" s="10" t="s">
        <v>66</v>
      </c>
      <c r="K58" s="10" t="s">
        <v>66</v>
      </c>
      <c r="L58" s="10" t="s">
        <v>66</v>
      </c>
      <c r="M58" s="10" t="s">
        <v>66</v>
      </c>
      <c r="N58" s="3" t="n">
        <f aca="false">COUNTIF(B58:M58,"Y")</f>
        <v>2</v>
      </c>
    </row>
    <row r="59" customFormat="false" ht="15" hidden="false" customHeight="false" outlineLevel="0" collapsed="false">
      <c r="A59" s="3" t="str">
        <f aca="false">Studies!A59</f>
        <v>S058</v>
      </c>
      <c r="B59" s="10" t="s">
        <v>61</v>
      </c>
      <c r="C59" s="10" t="s">
        <v>61</v>
      </c>
      <c r="D59" s="10" t="s">
        <v>66</v>
      </c>
      <c r="E59" s="10" t="s">
        <v>66</v>
      </c>
      <c r="F59" s="10" t="s">
        <v>66</v>
      </c>
      <c r="G59" s="10" t="s">
        <v>66</v>
      </c>
      <c r="H59" s="10" t="s">
        <v>66</v>
      </c>
      <c r="I59" s="10" t="s">
        <v>66</v>
      </c>
      <c r="J59" s="10" t="s">
        <v>66</v>
      </c>
      <c r="K59" s="10" t="s">
        <v>66</v>
      </c>
      <c r="L59" s="10" t="s">
        <v>66</v>
      </c>
      <c r="M59" s="10" t="s">
        <v>66</v>
      </c>
      <c r="N59" s="3" t="n">
        <f aca="false">COUNTIF(B59:M59,"Y")</f>
        <v>2</v>
      </c>
    </row>
    <row r="60" customFormat="false" ht="15" hidden="false" customHeight="false" outlineLevel="0" collapsed="false">
      <c r="A60" s="3" t="str">
        <f aca="false">Studies!A60</f>
        <v>S059</v>
      </c>
      <c r="B60" s="10" t="s">
        <v>61</v>
      </c>
      <c r="C60" s="10" t="s">
        <v>61</v>
      </c>
      <c r="D60" s="10" t="s">
        <v>66</v>
      </c>
      <c r="E60" s="10" t="s">
        <v>66</v>
      </c>
      <c r="F60" s="10" t="s">
        <v>66</v>
      </c>
      <c r="G60" s="10" t="s">
        <v>66</v>
      </c>
      <c r="H60" s="10" t="s">
        <v>66</v>
      </c>
      <c r="I60" s="10" t="s">
        <v>66</v>
      </c>
      <c r="J60" s="10" t="s">
        <v>66</v>
      </c>
      <c r="K60" s="10" t="s">
        <v>66</v>
      </c>
      <c r="L60" s="10" t="s">
        <v>66</v>
      </c>
      <c r="M60" s="10" t="s">
        <v>66</v>
      </c>
      <c r="N60" s="3" t="n">
        <f aca="false">COUNTIF(B60:M60,"Y")</f>
        <v>2</v>
      </c>
    </row>
    <row r="61" customFormat="false" ht="15" hidden="false" customHeight="false" outlineLevel="0" collapsed="false">
      <c r="A61" s="3" t="str">
        <f aca="false">Studies!A61</f>
        <v>S060</v>
      </c>
      <c r="B61" s="10" t="s">
        <v>61</v>
      </c>
      <c r="C61" s="10" t="s">
        <v>66</v>
      </c>
      <c r="D61" s="10" t="s">
        <v>66</v>
      </c>
      <c r="E61" s="10" t="s">
        <v>66</v>
      </c>
      <c r="F61" s="10" t="s">
        <v>66</v>
      </c>
      <c r="G61" s="10" t="s">
        <v>66</v>
      </c>
      <c r="H61" s="10" t="s">
        <v>66</v>
      </c>
      <c r="I61" s="10" t="s">
        <v>66</v>
      </c>
      <c r="J61" s="10" t="s">
        <v>66</v>
      </c>
      <c r="K61" s="10" t="s">
        <v>66</v>
      </c>
      <c r="L61" s="10" t="s">
        <v>66</v>
      </c>
      <c r="M61" s="10" t="s">
        <v>66</v>
      </c>
      <c r="N61" s="3" t="n">
        <f aca="false">COUNTIF(B61:M61,"Y")</f>
        <v>1</v>
      </c>
    </row>
    <row r="62" customFormat="false" ht="15" hidden="false" customHeight="false" outlineLevel="0" collapsed="false">
      <c r="A62" s="3" t="str">
        <f aca="false">Studies!A62</f>
        <v>S061</v>
      </c>
      <c r="B62" s="10" t="s">
        <v>61</v>
      </c>
      <c r="C62" s="10" t="s">
        <v>61</v>
      </c>
      <c r="D62" s="10" t="s">
        <v>66</v>
      </c>
      <c r="E62" s="10" t="s">
        <v>66</v>
      </c>
      <c r="F62" s="10" t="s">
        <v>61</v>
      </c>
      <c r="G62" s="10" t="s">
        <v>66</v>
      </c>
      <c r="H62" s="10" t="s">
        <v>61</v>
      </c>
      <c r="I62" s="10" t="s">
        <v>66</v>
      </c>
      <c r="J62" s="10" t="s">
        <v>66</v>
      </c>
      <c r="K62" s="10" t="s">
        <v>66</v>
      </c>
      <c r="L62" s="10" t="s">
        <v>66</v>
      </c>
      <c r="M62" s="10" t="s">
        <v>66</v>
      </c>
      <c r="N62" s="3" t="n">
        <f aca="false">COUNTIF(B62:M62,"Y")</f>
        <v>4</v>
      </c>
    </row>
    <row r="63" customFormat="false" ht="15" hidden="false" customHeight="false" outlineLevel="0" collapsed="false">
      <c r="A63" s="3" t="str">
        <f aca="false">Studies!A63</f>
        <v>S062</v>
      </c>
      <c r="B63" s="10" t="s">
        <v>61</v>
      </c>
      <c r="C63" s="10" t="s">
        <v>66</v>
      </c>
      <c r="D63" s="10" t="s">
        <v>66</v>
      </c>
      <c r="E63" s="10" t="s">
        <v>61</v>
      </c>
      <c r="F63" s="10" t="s">
        <v>66</v>
      </c>
      <c r="G63" s="10" t="s">
        <v>66</v>
      </c>
      <c r="H63" s="10" t="s">
        <v>66</v>
      </c>
      <c r="I63" s="10" t="s">
        <v>61</v>
      </c>
      <c r="J63" s="10" t="s">
        <v>66</v>
      </c>
      <c r="K63" s="10" t="s">
        <v>61</v>
      </c>
      <c r="L63" s="10" t="s">
        <v>61</v>
      </c>
      <c r="M63" s="10" t="s">
        <v>66</v>
      </c>
      <c r="N63" s="3" t="n">
        <f aca="false">COUNTIF(B63:M63,"Y")</f>
        <v>5</v>
      </c>
    </row>
    <row r="64" customFormat="false" ht="15" hidden="false" customHeight="false" outlineLevel="0" collapsed="false">
      <c r="A64" s="3" t="str">
        <f aca="false">Studies!A64</f>
        <v>S063</v>
      </c>
      <c r="B64" s="10" t="s">
        <v>66</v>
      </c>
      <c r="C64" s="10" t="s">
        <v>61</v>
      </c>
      <c r="D64" s="10" t="s">
        <v>66</v>
      </c>
      <c r="E64" s="10" t="s">
        <v>66</v>
      </c>
      <c r="F64" s="10" t="s">
        <v>66</v>
      </c>
      <c r="G64" s="10" t="s">
        <v>66</v>
      </c>
      <c r="H64" s="10" t="s">
        <v>66</v>
      </c>
      <c r="I64" s="10" t="s">
        <v>66</v>
      </c>
      <c r="J64" s="10" t="s">
        <v>66</v>
      </c>
      <c r="K64" s="10" t="s">
        <v>66</v>
      </c>
      <c r="L64" s="10" t="s">
        <v>66</v>
      </c>
      <c r="M64" s="10" t="s">
        <v>66</v>
      </c>
      <c r="N64" s="3" t="n">
        <f aca="false">COUNTIF(B64:M64,"Y")</f>
        <v>1</v>
      </c>
    </row>
    <row r="65" customFormat="false" ht="15" hidden="false" customHeight="false" outlineLevel="0" collapsed="false">
      <c r="A65" s="3" t="str">
        <f aca="false">Studies!A65</f>
        <v>S064</v>
      </c>
      <c r="B65" s="10" t="s">
        <v>61</v>
      </c>
      <c r="C65" s="10" t="s">
        <v>66</v>
      </c>
      <c r="D65" s="10" t="s">
        <v>66</v>
      </c>
      <c r="E65" s="10" t="s">
        <v>61</v>
      </c>
      <c r="F65" s="10" t="s">
        <v>66</v>
      </c>
      <c r="G65" s="10" t="s">
        <v>66</v>
      </c>
      <c r="H65" s="10" t="s">
        <v>66</v>
      </c>
      <c r="I65" s="10" t="s">
        <v>66</v>
      </c>
      <c r="J65" s="10" t="s">
        <v>66</v>
      </c>
      <c r="K65" s="10" t="s">
        <v>66</v>
      </c>
      <c r="L65" s="10" t="s">
        <v>66</v>
      </c>
      <c r="M65" s="10" t="s">
        <v>66</v>
      </c>
      <c r="N65" s="3" t="n">
        <f aca="false">COUNTIF(B65:M65,"Y")</f>
        <v>2</v>
      </c>
    </row>
    <row r="66" customFormat="false" ht="15" hidden="false" customHeight="false" outlineLevel="0" collapsed="false">
      <c r="A66" s="3" t="str">
        <f aca="false">Studies!A66</f>
        <v>S065</v>
      </c>
      <c r="B66" s="10" t="s">
        <v>61</v>
      </c>
      <c r="C66" s="10" t="s">
        <v>61</v>
      </c>
      <c r="D66" s="10" t="s">
        <v>66</v>
      </c>
      <c r="E66" s="10" t="s">
        <v>61</v>
      </c>
      <c r="F66" s="10" t="s">
        <v>66</v>
      </c>
      <c r="G66" s="10" t="s">
        <v>61</v>
      </c>
      <c r="H66" s="10" t="s">
        <v>61</v>
      </c>
      <c r="I66" s="10" t="s">
        <v>61</v>
      </c>
      <c r="J66" s="10" t="s">
        <v>61</v>
      </c>
      <c r="K66" s="10" t="s">
        <v>61</v>
      </c>
      <c r="L66" s="10" t="s">
        <v>61</v>
      </c>
      <c r="M66" s="10" t="s">
        <v>66</v>
      </c>
      <c r="N66" s="3" t="n">
        <f aca="false">COUNTIF(B66:M66,"Y")</f>
        <v>9</v>
      </c>
    </row>
    <row r="67" customFormat="false" ht="15" hidden="false" customHeight="false" outlineLevel="0" collapsed="false">
      <c r="A67" s="3" t="str">
        <f aca="false">Studies!A67</f>
        <v>S066</v>
      </c>
      <c r="B67" s="10" t="s">
        <v>61</v>
      </c>
      <c r="C67" s="10" t="s">
        <v>61</v>
      </c>
      <c r="D67" s="10" t="s">
        <v>66</v>
      </c>
      <c r="E67" s="10" t="s">
        <v>66</v>
      </c>
      <c r="F67" s="10" t="s">
        <v>66</v>
      </c>
      <c r="G67" s="10" t="s">
        <v>66</v>
      </c>
      <c r="H67" s="10" t="s">
        <v>61</v>
      </c>
      <c r="I67" s="10" t="s">
        <v>66</v>
      </c>
      <c r="J67" s="10" t="s">
        <v>66</v>
      </c>
      <c r="K67" s="10" t="s">
        <v>66</v>
      </c>
      <c r="L67" s="10" t="s">
        <v>66</v>
      </c>
      <c r="M67" s="10" t="s">
        <v>66</v>
      </c>
      <c r="N67" s="3" t="n">
        <f aca="false">COUNTIF(B67:M67,"Y")</f>
        <v>3</v>
      </c>
    </row>
    <row r="68" customFormat="false" ht="15" hidden="false" customHeight="false" outlineLevel="0" collapsed="false">
      <c r="A68" s="3" t="str">
        <f aca="false">Studies!A68</f>
        <v>S067</v>
      </c>
      <c r="B68" s="10" t="s">
        <v>66</v>
      </c>
      <c r="C68" s="10" t="s">
        <v>61</v>
      </c>
      <c r="D68" s="10" t="s">
        <v>66</v>
      </c>
      <c r="E68" s="10" t="s">
        <v>61</v>
      </c>
      <c r="F68" s="10" t="s">
        <v>66</v>
      </c>
      <c r="G68" s="10" t="s">
        <v>66</v>
      </c>
      <c r="H68" s="10" t="s">
        <v>66</v>
      </c>
      <c r="I68" s="10" t="s">
        <v>66</v>
      </c>
      <c r="J68" s="10" t="s">
        <v>66</v>
      </c>
      <c r="K68" s="10" t="s">
        <v>66</v>
      </c>
      <c r="L68" s="10" t="s">
        <v>66</v>
      </c>
      <c r="M68" s="10" t="s">
        <v>66</v>
      </c>
      <c r="N68" s="3" t="n">
        <f aca="false">COUNTIF(B68:M68,"Y")</f>
        <v>2</v>
      </c>
    </row>
    <row r="69" customFormat="false" ht="15" hidden="false" customHeight="false" outlineLevel="0" collapsed="false">
      <c r="A69" s="3" t="str">
        <f aca="false">Studies!A69</f>
        <v>S068</v>
      </c>
      <c r="B69" s="10" t="s">
        <v>66</v>
      </c>
      <c r="C69" s="10" t="s">
        <v>66</v>
      </c>
      <c r="D69" s="10" t="s">
        <v>66</v>
      </c>
      <c r="E69" s="10" t="s">
        <v>61</v>
      </c>
      <c r="F69" s="10" t="s">
        <v>66</v>
      </c>
      <c r="G69" s="10" t="s">
        <v>66</v>
      </c>
      <c r="H69" s="10" t="s">
        <v>66</v>
      </c>
      <c r="I69" s="10" t="s">
        <v>66</v>
      </c>
      <c r="J69" s="10" t="s">
        <v>66</v>
      </c>
      <c r="K69" s="10" t="s">
        <v>66</v>
      </c>
      <c r="L69" s="10" t="s">
        <v>66</v>
      </c>
      <c r="M69" s="10" t="s">
        <v>66</v>
      </c>
      <c r="N69" s="3" t="n">
        <f aca="false">COUNTIF(B69:M69,"Y")</f>
        <v>1</v>
      </c>
    </row>
    <row r="70" customFormat="false" ht="15" hidden="false" customHeight="false" outlineLevel="0" collapsed="false">
      <c r="A70" s="3" t="str">
        <f aca="false">Studies!A70</f>
        <v>S069</v>
      </c>
      <c r="B70" s="10" t="s">
        <v>61</v>
      </c>
      <c r="C70" s="10" t="s">
        <v>61</v>
      </c>
      <c r="D70" s="10" t="s">
        <v>66</v>
      </c>
      <c r="E70" s="10" t="s">
        <v>61</v>
      </c>
      <c r="F70" s="10" t="s">
        <v>61</v>
      </c>
      <c r="G70" s="10" t="s">
        <v>66</v>
      </c>
      <c r="H70" s="10" t="s">
        <v>61</v>
      </c>
      <c r="I70" s="10" t="s">
        <v>66</v>
      </c>
      <c r="J70" s="10" t="s">
        <v>66</v>
      </c>
      <c r="K70" s="10" t="s">
        <v>61</v>
      </c>
      <c r="L70" s="10" t="s">
        <v>66</v>
      </c>
      <c r="M70" s="10" t="s">
        <v>66</v>
      </c>
      <c r="N70" s="3" t="n">
        <f aca="false">COUNTIF(B70:M70,"Y")</f>
        <v>6</v>
      </c>
    </row>
    <row r="71" customFormat="false" ht="15" hidden="false" customHeight="false" outlineLevel="0" collapsed="false">
      <c r="A71" s="3" t="str">
        <f aca="false">Studies!A71</f>
        <v>S070</v>
      </c>
      <c r="B71" s="10" t="s">
        <v>61</v>
      </c>
      <c r="C71" s="10" t="s">
        <v>66</v>
      </c>
      <c r="D71" s="10" t="s">
        <v>66</v>
      </c>
      <c r="E71" s="10" t="s">
        <v>66</v>
      </c>
      <c r="F71" s="10" t="s">
        <v>66</v>
      </c>
      <c r="G71" s="10" t="s">
        <v>66</v>
      </c>
      <c r="H71" s="10" t="s">
        <v>66</v>
      </c>
      <c r="I71" s="10" t="s">
        <v>66</v>
      </c>
      <c r="J71" s="10" t="s">
        <v>66</v>
      </c>
      <c r="K71" s="10" t="s">
        <v>66</v>
      </c>
      <c r="L71" s="10" t="s">
        <v>66</v>
      </c>
      <c r="M71" s="10" t="s">
        <v>66</v>
      </c>
      <c r="N71" s="3" t="n">
        <f aca="false">COUNTIF(B71:M71,"Y")</f>
        <v>1</v>
      </c>
    </row>
    <row r="72" customFormat="false" ht="15" hidden="false" customHeight="false" outlineLevel="0" collapsed="false">
      <c r="A72" s="3" t="str">
        <f aca="false">Studies!A72</f>
        <v>S071</v>
      </c>
      <c r="B72" s="10" t="s">
        <v>61</v>
      </c>
      <c r="C72" s="10" t="s">
        <v>61</v>
      </c>
      <c r="D72" s="10" t="s">
        <v>66</v>
      </c>
      <c r="E72" s="10" t="s">
        <v>61</v>
      </c>
      <c r="F72" s="10" t="s">
        <v>66</v>
      </c>
      <c r="G72" s="10" t="s">
        <v>66</v>
      </c>
      <c r="H72" s="10" t="s">
        <v>66</v>
      </c>
      <c r="I72" s="10" t="s">
        <v>66</v>
      </c>
      <c r="J72" s="10" t="s">
        <v>66</v>
      </c>
      <c r="K72" s="10" t="s">
        <v>66</v>
      </c>
      <c r="L72" s="10" t="s">
        <v>61</v>
      </c>
      <c r="M72" s="10" t="s">
        <v>66</v>
      </c>
      <c r="N72" s="3" t="n">
        <f aca="false">COUNTIF(B72:M72,"Y")</f>
        <v>4</v>
      </c>
    </row>
    <row r="73" customFormat="false" ht="15" hidden="false" customHeight="false" outlineLevel="0" collapsed="false">
      <c r="A73" s="3" t="str">
        <f aca="false">Studies!A73</f>
        <v>S072</v>
      </c>
      <c r="B73" s="10" t="s">
        <v>61</v>
      </c>
      <c r="C73" s="10" t="s">
        <v>61</v>
      </c>
      <c r="D73" s="10" t="s">
        <v>66</v>
      </c>
      <c r="E73" s="10" t="s">
        <v>66</v>
      </c>
      <c r="F73" s="10" t="s">
        <v>66</v>
      </c>
      <c r="G73" s="10" t="s">
        <v>66</v>
      </c>
      <c r="H73" s="10" t="s">
        <v>66</v>
      </c>
      <c r="I73" s="10" t="s">
        <v>66</v>
      </c>
      <c r="J73" s="10" t="s">
        <v>61</v>
      </c>
      <c r="K73" s="10" t="s">
        <v>66</v>
      </c>
      <c r="L73" s="10" t="s">
        <v>66</v>
      </c>
      <c r="M73" s="10" t="s">
        <v>66</v>
      </c>
      <c r="N73" s="3" t="n">
        <f aca="false">COUNTIF(B73:M73,"Y")</f>
        <v>3</v>
      </c>
    </row>
    <row r="74" customFormat="false" ht="15" hidden="false" customHeight="false" outlineLevel="0" collapsed="false">
      <c r="A74" s="3" t="str">
        <f aca="false">Studies!A74</f>
        <v>S073</v>
      </c>
      <c r="B74" s="10" t="s">
        <v>61</v>
      </c>
      <c r="C74" s="10" t="s">
        <v>66</v>
      </c>
      <c r="D74" s="10" t="s">
        <v>66</v>
      </c>
      <c r="E74" s="10" t="s">
        <v>61</v>
      </c>
      <c r="F74" s="10" t="s">
        <v>61</v>
      </c>
      <c r="G74" s="10" t="s">
        <v>66</v>
      </c>
      <c r="H74" s="10" t="s">
        <v>66</v>
      </c>
      <c r="I74" s="10" t="s">
        <v>66</v>
      </c>
      <c r="J74" s="10" t="s">
        <v>66</v>
      </c>
      <c r="K74" s="10" t="s">
        <v>61</v>
      </c>
      <c r="L74" s="10" t="s">
        <v>61</v>
      </c>
      <c r="M74" s="10" t="s">
        <v>66</v>
      </c>
      <c r="N74" s="3" t="n">
        <f aca="false">COUNTIF(B74:M74,"Y")</f>
        <v>5</v>
      </c>
    </row>
    <row r="75" customFormat="false" ht="15" hidden="false" customHeight="false" outlineLevel="0" collapsed="false">
      <c r="A75" s="3" t="str">
        <f aca="false">Studies!A75</f>
        <v>S074</v>
      </c>
      <c r="B75" s="10" t="s">
        <v>61</v>
      </c>
      <c r="C75" s="10" t="s">
        <v>61</v>
      </c>
      <c r="D75" s="10" t="s">
        <v>66</v>
      </c>
      <c r="E75" s="10" t="s">
        <v>61</v>
      </c>
      <c r="F75" s="10" t="s">
        <v>66</v>
      </c>
      <c r="G75" s="10" t="s">
        <v>66</v>
      </c>
      <c r="H75" s="10" t="s">
        <v>61</v>
      </c>
      <c r="I75" s="10" t="s">
        <v>66</v>
      </c>
      <c r="J75" s="10" t="s">
        <v>66</v>
      </c>
      <c r="K75" s="10" t="s">
        <v>61</v>
      </c>
      <c r="L75" s="10" t="s">
        <v>66</v>
      </c>
      <c r="M75" s="10" t="s">
        <v>66</v>
      </c>
      <c r="N75" s="3" t="n">
        <f aca="false">COUNTIF(B75:M75,"Y")</f>
        <v>5</v>
      </c>
    </row>
    <row r="76" customFormat="false" ht="15" hidden="false" customHeight="false" outlineLevel="0" collapsed="false">
      <c r="A76" s="3" t="str">
        <f aca="false">Studies!A76</f>
        <v>S075</v>
      </c>
      <c r="B76" s="10" t="s">
        <v>61</v>
      </c>
      <c r="C76" s="10" t="s">
        <v>61</v>
      </c>
      <c r="D76" s="10" t="s">
        <v>66</v>
      </c>
      <c r="E76" s="10" t="s">
        <v>61</v>
      </c>
      <c r="F76" s="10" t="s">
        <v>66</v>
      </c>
      <c r="G76" s="10" t="s">
        <v>66</v>
      </c>
      <c r="H76" s="10" t="s">
        <v>66</v>
      </c>
      <c r="I76" s="10" t="s">
        <v>61</v>
      </c>
      <c r="J76" s="10" t="s">
        <v>66</v>
      </c>
      <c r="K76" s="10" t="s">
        <v>61</v>
      </c>
      <c r="L76" s="10" t="s">
        <v>61</v>
      </c>
      <c r="M76" s="10" t="s">
        <v>66</v>
      </c>
      <c r="N76" s="3" t="n">
        <f aca="false">COUNTIF(B76:M76,"Y")</f>
        <v>6</v>
      </c>
    </row>
    <row r="77" customFormat="false" ht="15" hidden="false" customHeight="false" outlineLevel="0" collapsed="false">
      <c r="A77" s="3" t="str">
        <f aca="false">Studies!A77</f>
        <v>S076</v>
      </c>
      <c r="B77" s="10" t="s">
        <v>61</v>
      </c>
      <c r="C77" s="10" t="s">
        <v>66</v>
      </c>
      <c r="D77" s="10" t="s">
        <v>66</v>
      </c>
      <c r="E77" s="10" t="s">
        <v>61</v>
      </c>
      <c r="F77" s="10" t="s">
        <v>66</v>
      </c>
      <c r="G77" s="10" t="s">
        <v>61</v>
      </c>
      <c r="H77" s="10" t="s">
        <v>61</v>
      </c>
      <c r="I77" s="10" t="s">
        <v>66</v>
      </c>
      <c r="J77" s="10" t="s">
        <v>66</v>
      </c>
      <c r="K77" s="10" t="s">
        <v>61</v>
      </c>
      <c r="L77" s="10" t="s">
        <v>61</v>
      </c>
      <c r="M77" s="10" t="s">
        <v>66</v>
      </c>
      <c r="N77" s="3" t="n">
        <f aca="false">COUNTIF(B77:M77,"Y")</f>
        <v>6</v>
      </c>
    </row>
    <row r="78" customFormat="false" ht="15" hidden="false" customHeight="false" outlineLevel="0" collapsed="false">
      <c r="A78" s="3" t="str">
        <f aca="false">Studies!A78</f>
        <v>S077</v>
      </c>
      <c r="B78" s="10" t="s">
        <v>61</v>
      </c>
      <c r="C78" s="10" t="s">
        <v>61</v>
      </c>
      <c r="D78" s="10" t="s">
        <v>66</v>
      </c>
      <c r="E78" s="10" t="s">
        <v>61</v>
      </c>
      <c r="F78" s="10" t="s">
        <v>61</v>
      </c>
      <c r="G78" s="10" t="s">
        <v>66</v>
      </c>
      <c r="H78" s="10" t="s">
        <v>61</v>
      </c>
      <c r="I78" s="10" t="s">
        <v>66</v>
      </c>
      <c r="J78" s="10" t="s">
        <v>66</v>
      </c>
      <c r="K78" s="10" t="s">
        <v>61</v>
      </c>
      <c r="L78" s="10" t="s">
        <v>61</v>
      </c>
      <c r="M78" s="10" t="s">
        <v>66</v>
      </c>
      <c r="N78" s="3" t="n">
        <f aca="false">COUNTIF(B78:M78,"Y")</f>
        <v>7</v>
      </c>
    </row>
    <row r="79" customFormat="false" ht="15" hidden="false" customHeight="false" outlineLevel="0" collapsed="false">
      <c r="A79" s="3" t="str">
        <f aca="false">Studies!A79</f>
        <v>S078</v>
      </c>
      <c r="B79" s="10" t="s">
        <v>61</v>
      </c>
      <c r="C79" s="10" t="s">
        <v>61</v>
      </c>
      <c r="D79" s="10" t="s">
        <v>66</v>
      </c>
      <c r="E79" s="10" t="s">
        <v>61</v>
      </c>
      <c r="F79" s="10" t="s">
        <v>66</v>
      </c>
      <c r="G79" s="10" t="s">
        <v>66</v>
      </c>
      <c r="H79" s="10" t="s">
        <v>61</v>
      </c>
      <c r="I79" s="10" t="s">
        <v>61</v>
      </c>
      <c r="J79" s="10" t="s">
        <v>66</v>
      </c>
      <c r="K79" s="10" t="s">
        <v>61</v>
      </c>
      <c r="L79" s="10" t="s">
        <v>61</v>
      </c>
      <c r="M79" s="10" t="s">
        <v>66</v>
      </c>
      <c r="N79" s="3" t="n">
        <f aca="false">COUNTIF(B79:M79,"Y")</f>
        <v>7</v>
      </c>
    </row>
    <row r="80" customFormat="false" ht="15" hidden="false" customHeight="false" outlineLevel="0" collapsed="false">
      <c r="A80" s="3" t="str">
        <f aca="false">Studies!A80</f>
        <v>S079</v>
      </c>
      <c r="B80" s="10" t="s">
        <v>61</v>
      </c>
      <c r="C80" s="10" t="s">
        <v>61</v>
      </c>
      <c r="D80" s="10" t="s">
        <v>66</v>
      </c>
      <c r="E80" s="10" t="s">
        <v>61</v>
      </c>
      <c r="F80" s="10" t="s">
        <v>66</v>
      </c>
      <c r="G80" s="10" t="s">
        <v>66</v>
      </c>
      <c r="H80" s="10" t="s">
        <v>66</v>
      </c>
      <c r="I80" s="10" t="s">
        <v>66</v>
      </c>
      <c r="J80" s="10" t="s">
        <v>66</v>
      </c>
      <c r="K80" s="10" t="s">
        <v>66</v>
      </c>
      <c r="L80" s="10" t="s">
        <v>66</v>
      </c>
      <c r="M80" s="10" t="s">
        <v>66</v>
      </c>
      <c r="N80" s="3" t="n">
        <f aca="false">COUNTIF(B80:M80,"Y")</f>
        <v>3</v>
      </c>
    </row>
    <row r="81" customFormat="false" ht="15" hidden="false" customHeight="false" outlineLevel="0" collapsed="false">
      <c r="A81" s="3" t="str">
        <f aca="false">Studies!A81</f>
        <v>S080</v>
      </c>
      <c r="B81" s="10" t="s">
        <v>66</v>
      </c>
      <c r="C81" s="10" t="s">
        <v>66</v>
      </c>
      <c r="D81" s="10" t="s">
        <v>66</v>
      </c>
      <c r="E81" s="10" t="s">
        <v>66</v>
      </c>
      <c r="F81" s="10" t="s">
        <v>66</v>
      </c>
      <c r="G81" s="10" t="s">
        <v>66</v>
      </c>
      <c r="H81" s="10" t="s">
        <v>66</v>
      </c>
      <c r="I81" s="10" t="s">
        <v>66</v>
      </c>
      <c r="J81" s="10" t="s">
        <v>66</v>
      </c>
      <c r="K81" s="10" t="s">
        <v>66</v>
      </c>
      <c r="L81" s="10" t="s">
        <v>61</v>
      </c>
      <c r="M81" s="10" t="s">
        <v>66</v>
      </c>
      <c r="N81" s="3" t="n">
        <f aca="false">COUNTIF(B81:M81,"Y")</f>
        <v>1</v>
      </c>
    </row>
    <row r="82" customFormat="false" ht="15" hidden="false" customHeight="false" outlineLevel="0" collapsed="false">
      <c r="A82" s="3" t="str">
        <f aca="false">Studies!A82</f>
        <v>S081</v>
      </c>
      <c r="B82" s="10" t="s">
        <v>61</v>
      </c>
      <c r="C82" s="10" t="s">
        <v>61</v>
      </c>
      <c r="D82" s="10" t="s">
        <v>61</v>
      </c>
      <c r="E82" s="10" t="s">
        <v>66</v>
      </c>
      <c r="F82" s="10" t="s">
        <v>66</v>
      </c>
      <c r="G82" s="10" t="s">
        <v>66</v>
      </c>
      <c r="H82" s="10" t="s">
        <v>61</v>
      </c>
      <c r="I82" s="10" t="s">
        <v>66</v>
      </c>
      <c r="J82" s="10" t="s">
        <v>66</v>
      </c>
      <c r="K82" s="10" t="s">
        <v>66</v>
      </c>
      <c r="L82" s="10" t="s">
        <v>66</v>
      </c>
      <c r="M82" s="10" t="s">
        <v>66</v>
      </c>
      <c r="N82" s="3" t="n">
        <f aca="false">COUNTIF(B82:M82,"Y")</f>
        <v>4</v>
      </c>
    </row>
    <row r="83" customFormat="false" ht="15" hidden="false" customHeight="false" outlineLevel="0" collapsed="false">
      <c r="A83" s="3" t="str">
        <f aca="false">Studies!A83</f>
        <v>S082</v>
      </c>
      <c r="B83" s="10" t="s">
        <v>61</v>
      </c>
      <c r="C83" s="10" t="s">
        <v>61</v>
      </c>
      <c r="D83" s="10" t="s">
        <v>66</v>
      </c>
      <c r="E83" s="10" t="s">
        <v>66</v>
      </c>
      <c r="F83" s="10" t="s">
        <v>66</v>
      </c>
      <c r="G83" s="10" t="s">
        <v>66</v>
      </c>
      <c r="H83" s="10" t="s">
        <v>66</v>
      </c>
      <c r="I83" s="10" t="s">
        <v>61</v>
      </c>
      <c r="J83" s="10" t="s">
        <v>61</v>
      </c>
      <c r="K83" s="10" t="s">
        <v>66</v>
      </c>
      <c r="L83" s="10" t="s">
        <v>66</v>
      </c>
      <c r="M83" s="10" t="s">
        <v>66</v>
      </c>
      <c r="N83" s="3" t="n">
        <f aca="false">COUNTIF(B83:M83,"Y")</f>
        <v>4</v>
      </c>
    </row>
    <row r="84" customFormat="false" ht="15" hidden="false" customHeight="false" outlineLevel="0" collapsed="false">
      <c r="A84" s="3" t="str">
        <f aca="false">Studies!A84</f>
        <v>S083</v>
      </c>
      <c r="B84" s="10" t="s">
        <v>61</v>
      </c>
      <c r="C84" s="10" t="s">
        <v>66</v>
      </c>
      <c r="D84" s="10" t="s">
        <v>66</v>
      </c>
      <c r="E84" s="10" t="s">
        <v>61</v>
      </c>
      <c r="F84" s="10" t="s">
        <v>66</v>
      </c>
      <c r="G84" s="10" t="s">
        <v>61</v>
      </c>
      <c r="H84" s="10" t="s">
        <v>66</v>
      </c>
      <c r="I84" s="10" t="s">
        <v>61</v>
      </c>
      <c r="J84" s="10" t="s">
        <v>61</v>
      </c>
      <c r="K84" s="10" t="s">
        <v>66</v>
      </c>
      <c r="L84" s="10" t="s">
        <v>66</v>
      </c>
      <c r="M84" s="10" t="s">
        <v>66</v>
      </c>
      <c r="N84" s="3" t="n">
        <f aca="false">COUNTIF(B84:M84,"Y")</f>
        <v>5</v>
      </c>
    </row>
    <row r="85" customFormat="false" ht="15" hidden="false" customHeight="false" outlineLevel="0" collapsed="false">
      <c r="A85" s="3" t="str">
        <f aca="false">Studies!A85</f>
        <v>S084</v>
      </c>
      <c r="B85" s="10" t="s">
        <v>61</v>
      </c>
      <c r="C85" s="10" t="s">
        <v>61</v>
      </c>
      <c r="D85" s="10" t="s">
        <v>66</v>
      </c>
      <c r="E85" s="10" t="s">
        <v>61</v>
      </c>
      <c r="F85" s="10" t="s">
        <v>61</v>
      </c>
      <c r="G85" s="10" t="s">
        <v>66</v>
      </c>
      <c r="H85" s="10" t="s">
        <v>61</v>
      </c>
      <c r="I85" s="10" t="s">
        <v>66</v>
      </c>
      <c r="J85" s="10" t="s">
        <v>66</v>
      </c>
      <c r="K85" s="10" t="s">
        <v>61</v>
      </c>
      <c r="L85" s="10" t="s">
        <v>61</v>
      </c>
      <c r="M85" s="10" t="s">
        <v>66</v>
      </c>
      <c r="N85" s="3" t="n">
        <f aca="false">COUNTIF(B85:M85,"Y")</f>
        <v>7</v>
      </c>
    </row>
    <row r="86" customFormat="false" ht="15" hidden="false" customHeight="false" outlineLevel="0" collapsed="false">
      <c r="A86" s="3" t="str">
        <f aca="false">Studies!A86</f>
        <v>S085</v>
      </c>
      <c r="B86" s="10" t="s">
        <v>61</v>
      </c>
      <c r="C86" s="10" t="s">
        <v>61</v>
      </c>
      <c r="D86" s="10" t="s">
        <v>66</v>
      </c>
      <c r="E86" s="10" t="s">
        <v>61</v>
      </c>
      <c r="F86" s="10" t="s">
        <v>66</v>
      </c>
      <c r="G86" s="10" t="s">
        <v>66</v>
      </c>
      <c r="H86" s="10" t="s">
        <v>61</v>
      </c>
      <c r="I86" s="10" t="s">
        <v>61</v>
      </c>
      <c r="J86" s="10" t="s">
        <v>66</v>
      </c>
      <c r="K86" s="10" t="s">
        <v>61</v>
      </c>
      <c r="L86" s="10" t="s">
        <v>66</v>
      </c>
      <c r="M86" s="10" t="s">
        <v>66</v>
      </c>
      <c r="N86" s="3" t="n">
        <f aca="false">COUNTIF(B86:M86,"Y")</f>
        <v>6</v>
      </c>
    </row>
    <row r="87" customFormat="false" ht="15" hidden="false" customHeight="false" outlineLevel="0" collapsed="false">
      <c r="A87" s="3" t="str">
        <f aca="false">Studies!A87</f>
        <v>S086</v>
      </c>
      <c r="B87" s="10" t="s">
        <v>61</v>
      </c>
      <c r="C87" s="10" t="s">
        <v>66</v>
      </c>
      <c r="D87" s="10" t="s">
        <v>66</v>
      </c>
      <c r="E87" s="10" t="s">
        <v>66</v>
      </c>
      <c r="F87" s="10" t="s">
        <v>66</v>
      </c>
      <c r="G87" s="10" t="s">
        <v>66</v>
      </c>
      <c r="H87" s="10" t="s">
        <v>61</v>
      </c>
      <c r="I87" s="10" t="s">
        <v>66</v>
      </c>
      <c r="J87" s="10" t="s">
        <v>66</v>
      </c>
      <c r="K87" s="10" t="s">
        <v>66</v>
      </c>
      <c r="L87" s="10" t="s">
        <v>61</v>
      </c>
      <c r="M87" s="10" t="s">
        <v>66</v>
      </c>
      <c r="N87" s="3" t="n">
        <f aca="false">COUNTIF(B87:M87,"Y")</f>
        <v>3</v>
      </c>
    </row>
    <row r="88" customFormat="false" ht="15" hidden="false" customHeight="false" outlineLevel="0" collapsed="false">
      <c r="A88" s="3" t="str">
        <f aca="false">Studies!A88</f>
        <v>S087</v>
      </c>
      <c r="B88" s="10" t="s">
        <v>61</v>
      </c>
      <c r="C88" s="10" t="s">
        <v>61</v>
      </c>
      <c r="D88" s="10" t="s">
        <v>66</v>
      </c>
      <c r="E88" s="10" t="s">
        <v>61</v>
      </c>
      <c r="F88" s="10" t="s">
        <v>66</v>
      </c>
      <c r="G88" s="10" t="s">
        <v>66</v>
      </c>
      <c r="H88" s="10" t="s">
        <v>61</v>
      </c>
      <c r="I88" s="10" t="s">
        <v>66</v>
      </c>
      <c r="J88" s="10" t="s">
        <v>66</v>
      </c>
      <c r="K88" s="10" t="s">
        <v>61</v>
      </c>
      <c r="L88" s="10" t="s">
        <v>61</v>
      </c>
      <c r="M88" s="10" t="s">
        <v>66</v>
      </c>
      <c r="N88" s="3" t="n">
        <f aca="false">COUNTIF(B88:M88,"Y")</f>
        <v>6</v>
      </c>
    </row>
    <row r="89" customFormat="false" ht="15" hidden="false" customHeight="false" outlineLevel="0" collapsed="false">
      <c r="A89" s="3" t="str">
        <f aca="false">Studies!A89</f>
        <v>S088</v>
      </c>
      <c r="B89" s="10" t="s">
        <v>61</v>
      </c>
      <c r="C89" s="10" t="s">
        <v>61</v>
      </c>
      <c r="D89" s="10" t="s">
        <v>66</v>
      </c>
      <c r="E89" s="10" t="s">
        <v>61</v>
      </c>
      <c r="F89" s="10" t="s">
        <v>61</v>
      </c>
      <c r="G89" s="10" t="s">
        <v>66</v>
      </c>
      <c r="H89" s="10" t="s">
        <v>66</v>
      </c>
      <c r="I89" s="10" t="s">
        <v>66</v>
      </c>
      <c r="J89" s="10" t="s">
        <v>66</v>
      </c>
      <c r="K89" s="10" t="s">
        <v>61</v>
      </c>
      <c r="L89" s="10" t="s">
        <v>61</v>
      </c>
      <c r="M89" s="10" t="s">
        <v>66</v>
      </c>
      <c r="N89" s="3" t="n">
        <f aca="false">COUNTIF(B89:M89,"Y")</f>
        <v>6</v>
      </c>
    </row>
    <row r="90" customFormat="false" ht="15" hidden="false" customHeight="false" outlineLevel="0" collapsed="false">
      <c r="A90" s="3" t="str">
        <f aca="false">Studies!A90</f>
        <v>S089</v>
      </c>
      <c r="B90" s="10" t="s">
        <v>61</v>
      </c>
      <c r="C90" s="10" t="s">
        <v>66</v>
      </c>
      <c r="D90" s="10" t="s">
        <v>66</v>
      </c>
      <c r="E90" s="10" t="s">
        <v>61</v>
      </c>
      <c r="F90" s="10" t="s">
        <v>66</v>
      </c>
      <c r="G90" s="10" t="s">
        <v>66</v>
      </c>
      <c r="H90" s="10" t="s">
        <v>66</v>
      </c>
      <c r="I90" s="10" t="s">
        <v>66</v>
      </c>
      <c r="J90" s="10" t="s">
        <v>66</v>
      </c>
      <c r="K90" s="10" t="s">
        <v>61</v>
      </c>
      <c r="L90" s="10" t="s">
        <v>61</v>
      </c>
      <c r="M90" s="10" t="s">
        <v>66</v>
      </c>
      <c r="N90" s="3" t="n">
        <f aca="false">COUNTIF(B90:M90,"Y")</f>
        <v>4</v>
      </c>
    </row>
    <row r="91" customFormat="false" ht="15" hidden="false" customHeight="false" outlineLevel="0" collapsed="false">
      <c r="A91" s="3" t="str">
        <f aca="false">Studies!A91</f>
        <v>S090</v>
      </c>
      <c r="B91" s="10" t="s">
        <v>61</v>
      </c>
      <c r="C91" s="10" t="s">
        <v>66</v>
      </c>
      <c r="D91" s="10" t="s">
        <v>66</v>
      </c>
      <c r="E91" s="10" t="s">
        <v>66</v>
      </c>
      <c r="F91" s="10" t="s">
        <v>66</v>
      </c>
      <c r="G91" s="10" t="s">
        <v>66</v>
      </c>
      <c r="H91" s="10" t="s">
        <v>66</v>
      </c>
      <c r="I91" s="10" t="s">
        <v>66</v>
      </c>
      <c r="J91" s="10" t="s">
        <v>66</v>
      </c>
      <c r="K91" s="10" t="s">
        <v>66</v>
      </c>
      <c r="L91" s="10" t="s">
        <v>61</v>
      </c>
      <c r="M91" s="10" t="s">
        <v>66</v>
      </c>
      <c r="N91" s="3" t="n">
        <f aca="false">COUNTIF(B91:M91,"Y")</f>
        <v>2</v>
      </c>
    </row>
    <row r="92" customFormat="false" ht="15" hidden="false" customHeight="false" outlineLevel="0" collapsed="false">
      <c r="A92" s="3" t="str">
        <f aca="false">Studies!A92</f>
        <v>S091</v>
      </c>
      <c r="B92" s="10" t="s">
        <v>61</v>
      </c>
      <c r="C92" s="10" t="s">
        <v>61</v>
      </c>
      <c r="D92" s="10" t="s">
        <v>66</v>
      </c>
      <c r="E92" s="10" t="s">
        <v>61</v>
      </c>
      <c r="F92" s="10" t="s">
        <v>66</v>
      </c>
      <c r="G92" s="10" t="s">
        <v>66</v>
      </c>
      <c r="H92" s="10" t="s">
        <v>61</v>
      </c>
      <c r="I92" s="10" t="s">
        <v>66</v>
      </c>
      <c r="J92" s="10" t="s">
        <v>66</v>
      </c>
      <c r="K92" s="10" t="s">
        <v>66</v>
      </c>
      <c r="L92" s="10" t="s">
        <v>61</v>
      </c>
      <c r="M92" s="10" t="s">
        <v>66</v>
      </c>
      <c r="N92" s="3" t="n">
        <f aca="false">COUNTIF(B92:M92,"Y")</f>
        <v>5</v>
      </c>
    </row>
    <row r="93" customFormat="false" ht="15" hidden="false" customHeight="false" outlineLevel="0" collapsed="false">
      <c r="A93" s="3" t="str">
        <f aca="false">Studies!A93</f>
        <v>S092</v>
      </c>
      <c r="B93" s="10" t="s">
        <v>61</v>
      </c>
      <c r="C93" s="10" t="s">
        <v>61</v>
      </c>
      <c r="D93" s="10" t="s">
        <v>66</v>
      </c>
      <c r="E93" s="10" t="s">
        <v>66</v>
      </c>
      <c r="F93" s="10" t="s">
        <v>66</v>
      </c>
      <c r="G93" s="10" t="s">
        <v>66</v>
      </c>
      <c r="H93" s="10" t="s">
        <v>61</v>
      </c>
      <c r="I93" s="10" t="s">
        <v>66</v>
      </c>
      <c r="J93" s="10" t="s">
        <v>66</v>
      </c>
      <c r="K93" s="10" t="s">
        <v>61</v>
      </c>
      <c r="L93" s="10" t="s">
        <v>61</v>
      </c>
      <c r="M93" s="10" t="s">
        <v>66</v>
      </c>
      <c r="N93" s="3" t="n">
        <f aca="false">COUNTIF(B93:M93,"Y")</f>
        <v>5</v>
      </c>
    </row>
    <row r="94" customFormat="false" ht="15" hidden="false" customHeight="false" outlineLevel="0" collapsed="false">
      <c r="A94" s="3" t="str">
        <f aca="false">Studies!A94</f>
        <v>S093</v>
      </c>
      <c r="B94" s="10" t="s">
        <v>61</v>
      </c>
      <c r="C94" s="10" t="s">
        <v>61</v>
      </c>
      <c r="D94" s="10" t="s">
        <v>66</v>
      </c>
      <c r="E94" s="10" t="s">
        <v>61</v>
      </c>
      <c r="F94" s="10" t="s">
        <v>61</v>
      </c>
      <c r="G94" s="10" t="s">
        <v>66</v>
      </c>
      <c r="H94" s="10" t="s">
        <v>61</v>
      </c>
      <c r="I94" s="10" t="s">
        <v>66</v>
      </c>
      <c r="J94" s="10" t="s">
        <v>66</v>
      </c>
      <c r="K94" s="10" t="s">
        <v>66</v>
      </c>
      <c r="L94" s="10" t="s">
        <v>61</v>
      </c>
      <c r="M94" s="10" t="s">
        <v>66</v>
      </c>
      <c r="N94" s="3" t="n">
        <f aca="false">COUNTIF(B94:M94,"Y")</f>
        <v>6</v>
      </c>
    </row>
    <row r="95" customFormat="false" ht="15" hidden="false" customHeight="false" outlineLevel="0" collapsed="false">
      <c r="A95" s="3" t="str">
        <f aca="false">Studies!A95</f>
        <v>S094</v>
      </c>
      <c r="B95" s="10" t="s">
        <v>61</v>
      </c>
      <c r="C95" s="10" t="s">
        <v>61</v>
      </c>
      <c r="D95" s="10" t="s">
        <v>66</v>
      </c>
      <c r="E95" s="10" t="s">
        <v>61</v>
      </c>
      <c r="F95" s="10" t="s">
        <v>66</v>
      </c>
      <c r="G95" s="10" t="s">
        <v>66</v>
      </c>
      <c r="H95" s="10" t="s">
        <v>66</v>
      </c>
      <c r="I95" s="10" t="s">
        <v>66</v>
      </c>
      <c r="J95" s="10" t="s">
        <v>66</v>
      </c>
      <c r="K95" s="10" t="s">
        <v>66</v>
      </c>
      <c r="L95" s="10" t="s">
        <v>66</v>
      </c>
      <c r="M95" s="10" t="s">
        <v>66</v>
      </c>
      <c r="N95" s="3" t="n">
        <f aca="false">COUNTIF(B95:M95,"Y")</f>
        <v>3</v>
      </c>
    </row>
    <row r="96" customFormat="false" ht="15" hidden="false" customHeight="false" outlineLevel="0" collapsed="false">
      <c r="A96" s="3" t="str">
        <f aca="false">Studies!A96</f>
        <v>S095</v>
      </c>
      <c r="B96" s="10" t="s">
        <v>61</v>
      </c>
      <c r="C96" s="10" t="s">
        <v>61</v>
      </c>
      <c r="D96" s="10" t="s">
        <v>66</v>
      </c>
      <c r="E96" s="10" t="s">
        <v>66</v>
      </c>
      <c r="F96" s="10" t="s">
        <v>66</v>
      </c>
      <c r="G96" s="10" t="s">
        <v>66</v>
      </c>
      <c r="H96" s="10" t="s">
        <v>61</v>
      </c>
      <c r="I96" s="10" t="s">
        <v>61</v>
      </c>
      <c r="J96" s="10" t="s">
        <v>66</v>
      </c>
      <c r="K96" s="10" t="s">
        <v>66</v>
      </c>
      <c r="L96" s="10" t="s">
        <v>66</v>
      </c>
      <c r="M96" s="10" t="s">
        <v>66</v>
      </c>
      <c r="N96" s="3" t="n">
        <f aca="false">COUNTIF(B96:M96,"Y")</f>
        <v>4</v>
      </c>
    </row>
    <row r="97" customFormat="false" ht="15" hidden="false" customHeight="false" outlineLevel="0" collapsed="false">
      <c r="A97" s="3" t="str">
        <f aca="false">Studies!A97</f>
        <v>S096</v>
      </c>
      <c r="B97" s="10" t="s">
        <v>61</v>
      </c>
      <c r="C97" s="10" t="s">
        <v>66</v>
      </c>
      <c r="D97" s="10" t="s">
        <v>66</v>
      </c>
      <c r="E97" s="10" t="s">
        <v>66</v>
      </c>
      <c r="F97" s="10" t="s">
        <v>66</v>
      </c>
      <c r="G97" s="10" t="s">
        <v>66</v>
      </c>
      <c r="H97" s="10" t="s">
        <v>66</v>
      </c>
      <c r="I97" s="10" t="s">
        <v>66</v>
      </c>
      <c r="J97" s="10" t="s">
        <v>66</v>
      </c>
      <c r="K97" s="10" t="s">
        <v>66</v>
      </c>
      <c r="L97" s="10" t="s">
        <v>66</v>
      </c>
      <c r="M97" s="10" t="s">
        <v>66</v>
      </c>
      <c r="N97" s="3" t="n">
        <f aca="false">COUNTIF(B97:M97,"Y")</f>
        <v>1</v>
      </c>
    </row>
    <row r="98" customFormat="false" ht="15" hidden="false" customHeight="false" outlineLevel="0" collapsed="false">
      <c r="A98" s="3" t="str">
        <f aca="false">Studies!A98</f>
        <v>S097</v>
      </c>
      <c r="B98" s="10" t="s">
        <v>66</v>
      </c>
      <c r="C98" s="10" t="s">
        <v>66</v>
      </c>
      <c r="D98" s="10" t="s">
        <v>66</v>
      </c>
      <c r="E98" s="10" t="s">
        <v>66</v>
      </c>
      <c r="F98" s="10" t="s">
        <v>66</v>
      </c>
      <c r="G98" s="10" t="s">
        <v>66</v>
      </c>
      <c r="H98" s="10" t="s">
        <v>66</v>
      </c>
      <c r="I98" s="10" t="s">
        <v>66</v>
      </c>
      <c r="J98" s="10" t="s">
        <v>66</v>
      </c>
      <c r="K98" s="10" t="s">
        <v>61</v>
      </c>
      <c r="L98" s="10" t="s">
        <v>66</v>
      </c>
      <c r="M98" s="10" t="s">
        <v>66</v>
      </c>
      <c r="N98" s="3" t="n">
        <f aca="false">COUNTIF(B98:M98,"Y")</f>
        <v>1</v>
      </c>
    </row>
    <row r="99" customFormat="false" ht="15" hidden="false" customHeight="false" outlineLevel="0" collapsed="false">
      <c r="A99" s="3" t="str">
        <f aca="false">Studies!A99</f>
        <v>S098</v>
      </c>
      <c r="B99" s="10" t="s">
        <v>61</v>
      </c>
      <c r="C99" s="10" t="s">
        <v>66</v>
      </c>
      <c r="D99" s="10" t="s">
        <v>66</v>
      </c>
      <c r="E99" s="10" t="s">
        <v>61</v>
      </c>
      <c r="F99" s="10" t="s">
        <v>66</v>
      </c>
      <c r="G99" s="10" t="s">
        <v>66</v>
      </c>
      <c r="H99" s="10" t="s">
        <v>61</v>
      </c>
      <c r="I99" s="10" t="s">
        <v>66</v>
      </c>
      <c r="J99" s="10" t="s">
        <v>66</v>
      </c>
      <c r="K99" s="10" t="s">
        <v>66</v>
      </c>
      <c r="L99" s="10" t="s">
        <v>66</v>
      </c>
      <c r="M99" s="10" t="s">
        <v>66</v>
      </c>
      <c r="N99" s="3" t="n">
        <f aca="false">COUNTIF(B99:M99,"Y")</f>
        <v>3</v>
      </c>
    </row>
    <row r="100" customFormat="false" ht="15" hidden="false" customHeight="false" outlineLevel="0" collapsed="false">
      <c r="A100" s="3" t="str">
        <f aca="false">Studies!A100</f>
        <v>S099</v>
      </c>
      <c r="B100" s="10" t="s">
        <v>66</v>
      </c>
      <c r="C100" s="10" t="s">
        <v>66</v>
      </c>
      <c r="D100" s="10" t="s">
        <v>66</v>
      </c>
      <c r="E100" s="10" t="s">
        <v>66</v>
      </c>
      <c r="F100" s="10" t="s">
        <v>66</v>
      </c>
      <c r="G100" s="10" t="s">
        <v>66</v>
      </c>
      <c r="H100" s="10" t="s">
        <v>66</v>
      </c>
      <c r="I100" s="10" t="s">
        <v>66</v>
      </c>
      <c r="J100" s="10" t="s">
        <v>66</v>
      </c>
      <c r="K100" s="10" t="s">
        <v>66</v>
      </c>
      <c r="L100" s="10" t="s">
        <v>66</v>
      </c>
      <c r="M100" s="10" t="s">
        <v>66</v>
      </c>
      <c r="N100" s="3" t="n">
        <f aca="false">COUNTIF(B100:M100,"Y")</f>
        <v>0</v>
      </c>
    </row>
    <row r="101" customFormat="false" ht="15" hidden="false" customHeight="false" outlineLevel="0" collapsed="false">
      <c r="A101" s="3" t="str">
        <f aca="false">Studies!A101</f>
        <v>S100</v>
      </c>
      <c r="B101" s="10" t="s">
        <v>61</v>
      </c>
      <c r="C101" s="10" t="s">
        <v>61</v>
      </c>
      <c r="D101" s="10" t="s">
        <v>66</v>
      </c>
      <c r="E101" s="10" t="s">
        <v>66</v>
      </c>
      <c r="F101" s="10" t="s">
        <v>66</v>
      </c>
      <c r="G101" s="10" t="s">
        <v>66</v>
      </c>
      <c r="H101" s="10" t="s">
        <v>66</v>
      </c>
      <c r="I101" s="10" t="s">
        <v>66</v>
      </c>
      <c r="J101" s="10" t="s">
        <v>66</v>
      </c>
      <c r="K101" s="10" t="s">
        <v>61</v>
      </c>
      <c r="L101" s="10" t="s">
        <v>61</v>
      </c>
      <c r="M101" s="10" t="s">
        <v>66</v>
      </c>
      <c r="N101" s="3" t="n">
        <f aca="false">COUNTIF(B101:M101,"Y")</f>
        <v>4</v>
      </c>
    </row>
    <row r="102" customFormat="false" ht="15" hidden="false" customHeight="false" outlineLevel="0" collapsed="false">
      <c r="A102" s="3" t="str">
        <f aca="false">Studies!A102</f>
        <v>S101</v>
      </c>
      <c r="B102" s="10" t="s">
        <v>61</v>
      </c>
      <c r="C102" s="10" t="s">
        <v>61</v>
      </c>
      <c r="D102" s="10" t="s">
        <v>66</v>
      </c>
      <c r="E102" s="10" t="s">
        <v>61</v>
      </c>
      <c r="F102" s="10" t="s">
        <v>61</v>
      </c>
      <c r="G102" s="10" t="s">
        <v>66</v>
      </c>
      <c r="H102" s="10" t="s">
        <v>66</v>
      </c>
      <c r="I102" s="10" t="s">
        <v>66</v>
      </c>
      <c r="J102" s="10" t="s">
        <v>66</v>
      </c>
      <c r="K102" s="10" t="s">
        <v>61</v>
      </c>
      <c r="L102" s="10" t="s">
        <v>61</v>
      </c>
      <c r="M102" s="10" t="s">
        <v>66</v>
      </c>
      <c r="N102" s="3" t="n">
        <f aca="false">COUNTIF(B102:M102,"Y")</f>
        <v>6</v>
      </c>
    </row>
    <row r="103" customFormat="false" ht="15" hidden="false" customHeight="false" outlineLevel="0" collapsed="false">
      <c r="A103" s="3" t="str">
        <f aca="false">Studies!A103</f>
        <v>S102</v>
      </c>
      <c r="B103" s="10" t="s">
        <v>66</v>
      </c>
      <c r="C103" s="10" t="s">
        <v>61</v>
      </c>
      <c r="D103" s="10" t="s">
        <v>66</v>
      </c>
      <c r="E103" s="10" t="s">
        <v>66</v>
      </c>
      <c r="F103" s="10" t="s">
        <v>66</v>
      </c>
      <c r="G103" s="10" t="s">
        <v>66</v>
      </c>
      <c r="H103" s="10" t="s">
        <v>61</v>
      </c>
      <c r="I103" s="10" t="s">
        <v>66</v>
      </c>
      <c r="J103" s="10" t="s">
        <v>66</v>
      </c>
      <c r="K103" s="10" t="s">
        <v>61</v>
      </c>
      <c r="L103" s="10" t="s">
        <v>66</v>
      </c>
      <c r="M103" s="10" t="s">
        <v>66</v>
      </c>
      <c r="N103" s="3" t="n">
        <f aca="false">COUNTIF(B103:M103,"Y")</f>
        <v>3</v>
      </c>
    </row>
    <row r="104" customFormat="false" ht="15" hidden="false" customHeight="false" outlineLevel="0" collapsed="false">
      <c r="A104" s="3" t="str">
        <f aca="false">Studies!A104</f>
        <v>S103</v>
      </c>
      <c r="B104" s="10" t="s">
        <v>61</v>
      </c>
      <c r="C104" s="10" t="s">
        <v>61</v>
      </c>
      <c r="D104" s="10" t="s">
        <v>66</v>
      </c>
      <c r="E104" s="10" t="s">
        <v>66</v>
      </c>
      <c r="F104" s="10" t="s">
        <v>66</v>
      </c>
      <c r="G104" s="10" t="s">
        <v>66</v>
      </c>
      <c r="H104" s="10" t="s">
        <v>61</v>
      </c>
      <c r="I104" s="10" t="s">
        <v>66</v>
      </c>
      <c r="J104" s="10" t="s">
        <v>61</v>
      </c>
      <c r="K104" s="10" t="s">
        <v>66</v>
      </c>
      <c r="L104" s="10" t="s">
        <v>61</v>
      </c>
      <c r="M104" s="10" t="s">
        <v>66</v>
      </c>
      <c r="N104" s="3" t="n">
        <f aca="false">COUNTIF(B104:M104,"Y")</f>
        <v>5</v>
      </c>
    </row>
    <row r="105" customFormat="false" ht="15" hidden="false" customHeight="false" outlineLevel="0" collapsed="false">
      <c r="A105" s="3" t="str">
        <f aca="false">Studies!A105</f>
        <v>S104</v>
      </c>
      <c r="B105" s="10" t="s">
        <v>61</v>
      </c>
      <c r="C105" s="10" t="s">
        <v>61</v>
      </c>
      <c r="D105" s="10" t="s">
        <v>61</v>
      </c>
      <c r="E105" s="10" t="s">
        <v>61</v>
      </c>
      <c r="F105" s="10" t="s">
        <v>66</v>
      </c>
      <c r="G105" s="10" t="s">
        <v>66</v>
      </c>
      <c r="H105" s="10" t="s">
        <v>66</v>
      </c>
      <c r="I105" s="10" t="s">
        <v>66</v>
      </c>
      <c r="J105" s="10" t="s">
        <v>61</v>
      </c>
      <c r="K105" s="10" t="s">
        <v>66</v>
      </c>
      <c r="L105" s="10" t="s">
        <v>66</v>
      </c>
      <c r="M105" s="10" t="s">
        <v>66</v>
      </c>
      <c r="N105" s="3" t="n">
        <f aca="false">COUNTIF(B105:M105,"Y")</f>
        <v>5</v>
      </c>
    </row>
    <row r="106" customFormat="false" ht="15" hidden="false" customHeight="false" outlineLevel="0" collapsed="false">
      <c r="A106" s="3" t="str">
        <f aca="false">Studies!A106</f>
        <v>S105</v>
      </c>
      <c r="B106" s="10" t="s">
        <v>61</v>
      </c>
      <c r="C106" s="10" t="s">
        <v>66</v>
      </c>
      <c r="D106" s="10" t="s">
        <v>66</v>
      </c>
      <c r="E106" s="10" t="s">
        <v>61</v>
      </c>
      <c r="F106" s="10" t="s">
        <v>66</v>
      </c>
      <c r="G106" s="10" t="s">
        <v>66</v>
      </c>
      <c r="H106" s="10" t="s">
        <v>61</v>
      </c>
      <c r="I106" s="10" t="s">
        <v>66</v>
      </c>
      <c r="J106" s="10" t="s">
        <v>66</v>
      </c>
      <c r="K106" s="10" t="s">
        <v>66</v>
      </c>
      <c r="L106" s="10" t="s">
        <v>66</v>
      </c>
      <c r="M106" s="10" t="s">
        <v>66</v>
      </c>
      <c r="N106" s="3" t="n">
        <f aca="false">COUNTIF(B106:M106,"Y")</f>
        <v>3</v>
      </c>
    </row>
    <row r="107" customFormat="false" ht="15" hidden="false" customHeight="false" outlineLevel="0" collapsed="false">
      <c r="A107" s="3" t="str">
        <f aca="false">Studies!A107</f>
        <v>S106</v>
      </c>
      <c r="B107" s="10" t="s">
        <v>61</v>
      </c>
      <c r="C107" s="10" t="s">
        <v>66</v>
      </c>
      <c r="D107" s="10" t="s">
        <v>66</v>
      </c>
      <c r="E107" s="10" t="s">
        <v>66</v>
      </c>
      <c r="F107" s="10" t="s">
        <v>66</v>
      </c>
      <c r="G107" s="10" t="s">
        <v>66</v>
      </c>
      <c r="H107" s="10" t="s">
        <v>61</v>
      </c>
      <c r="I107" s="10" t="s">
        <v>66</v>
      </c>
      <c r="J107" s="10" t="s">
        <v>66</v>
      </c>
      <c r="K107" s="10" t="s">
        <v>66</v>
      </c>
      <c r="L107" s="10" t="s">
        <v>66</v>
      </c>
      <c r="M107" s="10" t="s">
        <v>66</v>
      </c>
      <c r="N107" s="3" t="n">
        <f aca="false">COUNTIF(B107:M107,"Y")</f>
        <v>2</v>
      </c>
    </row>
    <row r="108" customFormat="false" ht="15" hidden="false" customHeight="false" outlineLevel="0" collapsed="false">
      <c r="A108" s="3" t="str">
        <f aca="false">Studies!A108</f>
        <v>S107</v>
      </c>
      <c r="B108" s="10" t="s">
        <v>61</v>
      </c>
      <c r="C108" s="10" t="s">
        <v>61</v>
      </c>
      <c r="D108" s="10" t="s">
        <v>66</v>
      </c>
      <c r="E108" s="10" t="s">
        <v>61</v>
      </c>
      <c r="F108" s="10" t="s">
        <v>66</v>
      </c>
      <c r="G108" s="10" t="s">
        <v>66</v>
      </c>
      <c r="H108" s="10" t="s">
        <v>66</v>
      </c>
      <c r="I108" s="10" t="s">
        <v>66</v>
      </c>
      <c r="J108" s="10" t="s">
        <v>66</v>
      </c>
      <c r="K108" s="10" t="s">
        <v>66</v>
      </c>
      <c r="L108" s="10" t="s">
        <v>66</v>
      </c>
      <c r="M108" s="10" t="s">
        <v>66</v>
      </c>
      <c r="N108" s="3" t="n">
        <f aca="false">COUNTIF(B108:M108,"Y")</f>
        <v>3</v>
      </c>
    </row>
    <row r="109" customFormat="false" ht="15" hidden="false" customHeight="false" outlineLevel="0" collapsed="false">
      <c r="A109" s="3" t="str">
        <f aca="false">Studies!A109</f>
        <v>S108</v>
      </c>
      <c r="B109" s="10" t="s">
        <v>61</v>
      </c>
      <c r="C109" s="10" t="s">
        <v>66</v>
      </c>
      <c r="D109" s="10" t="s">
        <v>66</v>
      </c>
      <c r="E109" s="10" t="s">
        <v>61</v>
      </c>
      <c r="F109" s="10" t="s">
        <v>66</v>
      </c>
      <c r="G109" s="10" t="s">
        <v>61</v>
      </c>
      <c r="H109" s="10" t="s">
        <v>61</v>
      </c>
      <c r="I109" s="10" t="s">
        <v>66</v>
      </c>
      <c r="J109" s="10" t="s">
        <v>61</v>
      </c>
      <c r="K109" s="10" t="s">
        <v>61</v>
      </c>
      <c r="L109" s="10" t="s">
        <v>61</v>
      </c>
      <c r="M109" s="10" t="s">
        <v>66</v>
      </c>
      <c r="N109" s="3" t="n">
        <f aca="false">COUNTIF(B109:M109,"Y")</f>
        <v>7</v>
      </c>
    </row>
    <row r="110" customFormat="false" ht="15" hidden="false" customHeight="false" outlineLevel="0" collapsed="false">
      <c r="A110" s="3" t="str">
        <f aca="false">Studies!A110</f>
        <v>S109</v>
      </c>
      <c r="B110" s="10" t="s">
        <v>61</v>
      </c>
      <c r="C110" s="10" t="s">
        <v>61</v>
      </c>
      <c r="D110" s="10" t="s">
        <v>66</v>
      </c>
      <c r="E110" s="10" t="s">
        <v>61</v>
      </c>
      <c r="F110" s="10" t="s">
        <v>66</v>
      </c>
      <c r="G110" s="10" t="s">
        <v>66</v>
      </c>
      <c r="H110" s="10" t="s">
        <v>66</v>
      </c>
      <c r="I110" s="10" t="s">
        <v>66</v>
      </c>
      <c r="J110" s="10" t="s">
        <v>66</v>
      </c>
      <c r="K110" s="10" t="s">
        <v>61</v>
      </c>
      <c r="L110" s="10" t="s">
        <v>61</v>
      </c>
      <c r="M110" s="10" t="s">
        <v>66</v>
      </c>
      <c r="N110" s="3" t="n">
        <f aca="false">COUNTIF(B110:M110,"Y")</f>
        <v>5</v>
      </c>
    </row>
    <row r="111" customFormat="false" ht="15" hidden="false" customHeight="false" outlineLevel="0" collapsed="false">
      <c r="A111" s="3" t="str">
        <f aca="false">Studies!A111</f>
        <v>S110</v>
      </c>
      <c r="B111" s="10" t="s">
        <v>61</v>
      </c>
      <c r="C111" s="10" t="s">
        <v>61</v>
      </c>
      <c r="D111" s="10" t="s">
        <v>66</v>
      </c>
      <c r="E111" s="10" t="s">
        <v>61</v>
      </c>
      <c r="F111" s="10" t="s">
        <v>66</v>
      </c>
      <c r="G111" s="10" t="s">
        <v>66</v>
      </c>
      <c r="H111" s="10" t="s">
        <v>66</v>
      </c>
      <c r="I111" s="10" t="s">
        <v>66</v>
      </c>
      <c r="J111" s="10" t="s">
        <v>66</v>
      </c>
      <c r="K111" s="10" t="s">
        <v>61</v>
      </c>
      <c r="L111" s="10" t="s">
        <v>66</v>
      </c>
      <c r="M111" s="10" t="s">
        <v>66</v>
      </c>
      <c r="N111" s="3" t="n">
        <f aca="false">COUNTIF(B111:M111,"Y")</f>
        <v>4</v>
      </c>
    </row>
    <row r="112" customFormat="false" ht="15" hidden="false" customHeight="false" outlineLevel="0" collapsed="false">
      <c r="A112" s="3" t="str">
        <f aca="false">Studies!A112</f>
        <v>S111</v>
      </c>
      <c r="B112" s="10" t="s">
        <v>61</v>
      </c>
      <c r="C112" s="10" t="s">
        <v>61</v>
      </c>
      <c r="D112" s="10" t="s">
        <v>66</v>
      </c>
      <c r="E112" s="10" t="s">
        <v>61</v>
      </c>
      <c r="F112" s="10" t="s">
        <v>66</v>
      </c>
      <c r="G112" s="10" t="s">
        <v>66</v>
      </c>
      <c r="H112" s="10" t="s">
        <v>66</v>
      </c>
      <c r="I112" s="10" t="s">
        <v>66</v>
      </c>
      <c r="J112" s="10" t="s">
        <v>66</v>
      </c>
      <c r="K112" s="10" t="s">
        <v>61</v>
      </c>
      <c r="L112" s="10" t="s">
        <v>61</v>
      </c>
      <c r="M112" s="10" t="s">
        <v>66</v>
      </c>
      <c r="N112" s="3" t="n">
        <f aca="false">COUNTIF(B112:M112,"Y")</f>
        <v>5</v>
      </c>
    </row>
    <row r="113" customFormat="false" ht="15" hidden="false" customHeight="false" outlineLevel="0" collapsed="false">
      <c r="A113" s="3" t="str">
        <f aca="false">Studies!A113</f>
        <v>S112</v>
      </c>
      <c r="B113" s="10" t="s">
        <v>61</v>
      </c>
      <c r="C113" s="10" t="s">
        <v>61</v>
      </c>
      <c r="D113" s="10" t="s">
        <v>66</v>
      </c>
      <c r="E113" s="10" t="s">
        <v>61</v>
      </c>
      <c r="F113" s="10" t="s">
        <v>66</v>
      </c>
      <c r="G113" s="10" t="s">
        <v>61</v>
      </c>
      <c r="H113" s="10" t="s">
        <v>66</v>
      </c>
      <c r="I113" s="10" t="s">
        <v>61</v>
      </c>
      <c r="J113" s="10" t="s">
        <v>66</v>
      </c>
      <c r="K113" s="10" t="s">
        <v>66</v>
      </c>
      <c r="L113" s="10" t="s">
        <v>66</v>
      </c>
      <c r="M113" s="10" t="s">
        <v>66</v>
      </c>
      <c r="N113" s="3" t="n">
        <f aca="false">COUNTIF(B113:M113,"Y")</f>
        <v>5</v>
      </c>
    </row>
    <row r="114" customFormat="false" ht="15" hidden="false" customHeight="false" outlineLevel="0" collapsed="false">
      <c r="A114" s="3" t="str">
        <f aca="false">Studies!A114</f>
        <v>S113</v>
      </c>
      <c r="B114" s="10" t="s">
        <v>61</v>
      </c>
      <c r="C114" s="10" t="s">
        <v>61</v>
      </c>
      <c r="D114" s="10" t="s">
        <v>66</v>
      </c>
      <c r="E114" s="10" t="s">
        <v>66</v>
      </c>
      <c r="F114" s="10" t="s">
        <v>66</v>
      </c>
      <c r="G114" s="10" t="s">
        <v>61</v>
      </c>
      <c r="H114" s="10" t="s">
        <v>61</v>
      </c>
      <c r="I114" s="10" t="s">
        <v>61</v>
      </c>
      <c r="J114" s="10" t="s">
        <v>61</v>
      </c>
      <c r="K114" s="10" t="s">
        <v>66</v>
      </c>
      <c r="L114" s="10" t="s">
        <v>66</v>
      </c>
      <c r="M114" s="10" t="s">
        <v>66</v>
      </c>
      <c r="N114" s="3" t="n">
        <f aca="false">COUNTIF(B114:M114,"Y")</f>
        <v>6</v>
      </c>
    </row>
    <row r="115" customFormat="false" ht="15" hidden="false" customHeight="false" outlineLevel="0" collapsed="false">
      <c r="A115" s="3" t="str">
        <f aca="false">Studies!A115</f>
        <v>S114</v>
      </c>
      <c r="B115" s="10" t="s">
        <v>61</v>
      </c>
      <c r="C115" s="10" t="s">
        <v>61</v>
      </c>
      <c r="D115" s="10" t="s">
        <v>66</v>
      </c>
      <c r="E115" s="10" t="s">
        <v>61</v>
      </c>
      <c r="F115" s="10" t="s">
        <v>66</v>
      </c>
      <c r="G115" s="10" t="s">
        <v>66</v>
      </c>
      <c r="H115" s="10" t="s">
        <v>61</v>
      </c>
      <c r="I115" s="10" t="s">
        <v>66</v>
      </c>
      <c r="J115" s="10" t="s">
        <v>66</v>
      </c>
      <c r="K115" s="10" t="s">
        <v>61</v>
      </c>
      <c r="L115" s="10" t="s">
        <v>66</v>
      </c>
      <c r="M115" s="10" t="s">
        <v>66</v>
      </c>
      <c r="N115" s="3" t="n">
        <f aca="false">COUNTIF(B115:M115,"Y")</f>
        <v>5</v>
      </c>
    </row>
    <row r="116" customFormat="false" ht="15" hidden="false" customHeight="false" outlineLevel="0" collapsed="false">
      <c r="A116" s="3" t="str">
        <f aca="false">Studies!A116</f>
        <v>S115</v>
      </c>
      <c r="B116" s="10" t="s">
        <v>61</v>
      </c>
      <c r="C116" s="10" t="s">
        <v>61</v>
      </c>
      <c r="D116" s="10" t="s">
        <v>66</v>
      </c>
      <c r="E116" s="10" t="s">
        <v>66</v>
      </c>
      <c r="F116" s="10" t="s">
        <v>66</v>
      </c>
      <c r="G116" s="10" t="s">
        <v>66</v>
      </c>
      <c r="H116" s="10" t="s">
        <v>66</v>
      </c>
      <c r="I116" s="10" t="s">
        <v>66</v>
      </c>
      <c r="J116" s="10" t="s">
        <v>66</v>
      </c>
      <c r="K116" s="10" t="s">
        <v>66</v>
      </c>
      <c r="L116" s="10" t="s">
        <v>66</v>
      </c>
      <c r="M116" s="10" t="s">
        <v>66</v>
      </c>
      <c r="N116" s="3" t="n">
        <f aca="false">COUNTIF(B116:M116,"Y")</f>
        <v>2</v>
      </c>
    </row>
    <row r="117" customFormat="false" ht="15" hidden="false" customHeight="false" outlineLevel="0" collapsed="false">
      <c r="A117" s="3" t="str">
        <f aca="false">Studies!A117</f>
        <v>S116</v>
      </c>
      <c r="B117" s="10" t="s">
        <v>61</v>
      </c>
      <c r="C117" s="10" t="s">
        <v>61</v>
      </c>
      <c r="D117" s="10" t="s">
        <v>66</v>
      </c>
      <c r="E117" s="10" t="s">
        <v>66</v>
      </c>
      <c r="F117" s="10" t="s">
        <v>66</v>
      </c>
      <c r="G117" s="10" t="s">
        <v>66</v>
      </c>
      <c r="H117" s="10" t="s">
        <v>66</v>
      </c>
      <c r="I117" s="10" t="s">
        <v>66</v>
      </c>
      <c r="J117" s="10" t="s">
        <v>61</v>
      </c>
      <c r="K117" s="10" t="s">
        <v>66</v>
      </c>
      <c r="L117" s="10" t="s">
        <v>66</v>
      </c>
      <c r="M117" s="10" t="s">
        <v>66</v>
      </c>
      <c r="N117" s="3" t="n">
        <f aca="false">COUNTIF(B117:M117,"Y")</f>
        <v>3</v>
      </c>
    </row>
    <row r="118" customFormat="false" ht="15" hidden="false" customHeight="false" outlineLevel="0" collapsed="false">
      <c r="A118" s="3" t="str">
        <f aca="false">Studies!A118</f>
        <v>S117</v>
      </c>
      <c r="B118" s="10" t="s">
        <v>61</v>
      </c>
      <c r="C118" s="10" t="s">
        <v>61</v>
      </c>
      <c r="D118" s="10" t="s">
        <v>66</v>
      </c>
      <c r="E118" s="10" t="s">
        <v>61</v>
      </c>
      <c r="F118" s="10" t="s">
        <v>61</v>
      </c>
      <c r="G118" s="10" t="s">
        <v>66</v>
      </c>
      <c r="H118" s="10" t="s">
        <v>66</v>
      </c>
      <c r="I118" s="10" t="s">
        <v>66</v>
      </c>
      <c r="J118" s="10" t="s">
        <v>66</v>
      </c>
      <c r="K118" s="10" t="s">
        <v>66</v>
      </c>
      <c r="L118" s="10" t="s">
        <v>61</v>
      </c>
      <c r="M118" s="10" t="s">
        <v>66</v>
      </c>
      <c r="N118" s="3" t="n">
        <f aca="false">COUNTIF(B118:M118,"Y")</f>
        <v>5</v>
      </c>
    </row>
    <row r="119" customFormat="false" ht="15" hidden="false" customHeight="false" outlineLevel="0" collapsed="false">
      <c r="A119" s="3" t="str">
        <f aca="false">Studies!A119</f>
        <v>S118</v>
      </c>
      <c r="B119" s="10" t="s">
        <v>61</v>
      </c>
      <c r="C119" s="10" t="s">
        <v>61</v>
      </c>
      <c r="D119" s="10" t="s">
        <v>66</v>
      </c>
      <c r="E119" s="10" t="s">
        <v>61</v>
      </c>
      <c r="F119" s="10" t="s">
        <v>66</v>
      </c>
      <c r="G119" s="10" t="s">
        <v>66</v>
      </c>
      <c r="H119" s="10" t="s">
        <v>66</v>
      </c>
      <c r="I119" s="10" t="s">
        <v>66</v>
      </c>
      <c r="J119" s="10" t="s">
        <v>66</v>
      </c>
      <c r="K119" s="10" t="s">
        <v>66</v>
      </c>
      <c r="L119" s="10" t="s">
        <v>61</v>
      </c>
      <c r="M119" s="10" t="s">
        <v>66</v>
      </c>
      <c r="N119" s="3" t="n">
        <f aca="false">COUNTIF(B119:M119,"Y")</f>
        <v>4</v>
      </c>
    </row>
    <row r="120" customFormat="false" ht="15" hidden="false" customHeight="false" outlineLevel="0" collapsed="false">
      <c r="A120" s="3" t="str">
        <f aca="false">Studies!A120</f>
        <v>S119</v>
      </c>
      <c r="B120" s="10" t="s">
        <v>66</v>
      </c>
      <c r="C120" s="10" t="s">
        <v>66</v>
      </c>
      <c r="D120" s="10" t="s">
        <v>66</v>
      </c>
      <c r="E120" s="10" t="s">
        <v>61</v>
      </c>
      <c r="F120" s="10" t="s">
        <v>66</v>
      </c>
      <c r="G120" s="10" t="s">
        <v>66</v>
      </c>
      <c r="H120" s="10" t="s">
        <v>66</v>
      </c>
      <c r="I120" s="10" t="s">
        <v>66</v>
      </c>
      <c r="J120" s="10" t="s">
        <v>66</v>
      </c>
      <c r="K120" s="10" t="s">
        <v>66</v>
      </c>
      <c r="L120" s="10" t="s">
        <v>66</v>
      </c>
      <c r="M120" s="10" t="s">
        <v>66</v>
      </c>
      <c r="N120" s="3" t="n">
        <f aca="false">COUNTIF(B120:M120,"Y")</f>
        <v>1</v>
      </c>
    </row>
    <row r="121" customFormat="false" ht="15" hidden="false" customHeight="false" outlineLevel="0" collapsed="false">
      <c r="A121" s="3" t="str">
        <f aca="false">Studies!A121</f>
        <v>S120</v>
      </c>
      <c r="B121" s="10" t="s">
        <v>61</v>
      </c>
      <c r="C121" s="10" t="s">
        <v>66</v>
      </c>
      <c r="D121" s="10" t="s">
        <v>66</v>
      </c>
      <c r="E121" s="10" t="s">
        <v>61</v>
      </c>
      <c r="F121" s="10" t="s">
        <v>66</v>
      </c>
      <c r="G121" s="10" t="s">
        <v>61</v>
      </c>
      <c r="H121" s="10" t="s">
        <v>61</v>
      </c>
      <c r="I121" s="10" t="s">
        <v>61</v>
      </c>
      <c r="J121" s="10" t="s">
        <v>61</v>
      </c>
      <c r="K121" s="10" t="s">
        <v>61</v>
      </c>
      <c r="L121" s="10" t="s">
        <v>61</v>
      </c>
      <c r="M121" s="10" t="s">
        <v>66</v>
      </c>
      <c r="N121" s="3" t="n">
        <f aca="false">COUNTIF(B121:M121,"Y")</f>
        <v>8</v>
      </c>
    </row>
    <row r="122" customFormat="false" ht="15" hidden="false" customHeight="false" outlineLevel="0" collapsed="false">
      <c r="A122" s="3" t="str">
        <f aca="false">Studies!A122</f>
        <v>S121</v>
      </c>
      <c r="B122" s="10" t="s">
        <v>61</v>
      </c>
      <c r="C122" s="10" t="s">
        <v>66</v>
      </c>
      <c r="D122" s="10" t="s">
        <v>66</v>
      </c>
      <c r="E122" s="10" t="s">
        <v>66</v>
      </c>
      <c r="F122" s="10" t="s">
        <v>66</v>
      </c>
      <c r="G122" s="10" t="s">
        <v>66</v>
      </c>
      <c r="H122" s="10" t="s">
        <v>66</v>
      </c>
      <c r="I122" s="10" t="s">
        <v>66</v>
      </c>
      <c r="J122" s="10" t="s">
        <v>66</v>
      </c>
      <c r="K122" s="10" t="s">
        <v>66</v>
      </c>
      <c r="L122" s="10" t="s">
        <v>66</v>
      </c>
      <c r="M122" s="10" t="s">
        <v>66</v>
      </c>
      <c r="N122" s="3" t="n">
        <f aca="false">COUNTIF(B122:M122,"Y")</f>
        <v>1</v>
      </c>
    </row>
    <row r="123" customFormat="false" ht="15" hidden="false" customHeight="false" outlineLevel="0" collapsed="false">
      <c r="A123" s="3" t="str">
        <f aca="false">Studies!A123</f>
        <v>S122</v>
      </c>
      <c r="B123" s="10" t="s">
        <v>61</v>
      </c>
      <c r="C123" s="10" t="s">
        <v>66</v>
      </c>
      <c r="D123" s="10" t="s">
        <v>66</v>
      </c>
      <c r="E123" s="10" t="s">
        <v>61</v>
      </c>
      <c r="F123" s="10" t="s">
        <v>66</v>
      </c>
      <c r="G123" s="10" t="s">
        <v>66</v>
      </c>
      <c r="H123" s="10" t="s">
        <v>66</v>
      </c>
      <c r="I123" s="10" t="s">
        <v>66</v>
      </c>
      <c r="J123" s="10" t="s">
        <v>61</v>
      </c>
      <c r="K123" s="10" t="s">
        <v>66</v>
      </c>
      <c r="L123" s="10" t="s">
        <v>61</v>
      </c>
      <c r="M123" s="10" t="s">
        <v>66</v>
      </c>
      <c r="N123" s="3" t="n">
        <f aca="false">COUNTIF(B123:M123,"Y")</f>
        <v>4</v>
      </c>
    </row>
    <row r="124" customFormat="false" ht="15" hidden="false" customHeight="false" outlineLevel="0" collapsed="false">
      <c r="A124" s="3" t="str">
        <f aca="false">Studies!A124</f>
        <v>S123</v>
      </c>
      <c r="B124" s="10" t="s">
        <v>61</v>
      </c>
      <c r="C124" s="10" t="s">
        <v>61</v>
      </c>
      <c r="D124" s="10" t="s">
        <v>66</v>
      </c>
      <c r="E124" s="10" t="s">
        <v>61</v>
      </c>
      <c r="F124" s="10" t="s">
        <v>66</v>
      </c>
      <c r="G124" s="10" t="s">
        <v>66</v>
      </c>
      <c r="H124" s="10" t="s">
        <v>66</v>
      </c>
      <c r="I124" s="10" t="s">
        <v>61</v>
      </c>
      <c r="J124" s="10" t="s">
        <v>66</v>
      </c>
      <c r="K124" s="10" t="s">
        <v>66</v>
      </c>
      <c r="L124" s="10" t="s">
        <v>61</v>
      </c>
      <c r="M124" s="10" t="s">
        <v>66</v>
      </c>
      <c r="N124" s="3" t="n">
        <f aca="false">COUNTIF(B124:M124,"Y")</f>
        <v>5</v>
      </c>
    </row>
    <row r="125" customFormat="false" ht="15" hidden="false" customHeight="false" outlineLevel="0" collapsed="false">
      <c r="A125" s="3" t="str">
        <f aca="false">Studies!A125</f>
        <v>S124</v>
      </c>
      <c r="B125" s="10" t="s">
        <v>61</v>
      </c>
      <c r="C125" s="10" t="s">
        <v>61</v>
      </c>
      <c r="D125" s="10" t="s">
        <v>66</v>
      </c>
      <c r="E125" s="10" t="s">
        <v>61</v>
      </c>
      <c r="F125" s="10" t="s">
        <v>61</v>
      </c>
      <c r="G125" s="10" t="s">
        <v>61</v>
      </c>
      <c r="H125" s="10" t="s">
        <v>61</v>
      </c>
      <c r="I125" s="10" t="s">
        <v>61</v>
      </c>
      <c r="J125" s="10" t="s">
        <v>61</v>
      </c>
      <c r="K125" s="10" t="s">
        <v>61</v>
      </c>
      <c r="L125" s="10" t="s">
        <v>66</v>
      </c>
      <c r="M125" s="10" t="s">
        <v>66</v>
      </c>
      <c r="N125" s="3" t="n">
        <f aca="false">COUNTIF(B125:M125,"Y")</f>
        <v>9</v>
      </c>
    </row>
    <row r="126" customFormat="false" ht="15" hidden="false" customHeight="false" outlineLevel="0" collapsed="false">
      <c r="A126" s="3" t="str">
        <f aca="false">Studies!A126</f>
        <v>S125</v>
      </c>
      <c r="B126" s="10" t="s">
        <v>61</v>
      </c>
      <c r="C126" s="10" t="s">
        <v>66</v>
      </c>
      <c r="D126" s="10" t="s">
        <v>66</v>
      </c>
      <c r="E126" s="10" t="s">
        <v>61</v>
      </c>
      <c r="F126" s="10" t="s">
        <v>66</v>
      </c>
      <c r="G126" s="10" t="s">
        <v>66</v>
      </c>
      <c r="H126" s="10" t="s">
        <v>66</v>
      </c>
      <c r="I126" s="10" t="s">
        <v>66</v>
      </c>
      <c r="J126" s="10" t="s">
        <v>66</v>
      </c>
      <c r="K126" s="10" t="s">
        <v>66</v>
      </c>
      <c r="L126" s="10" t="s">
        <v>66</v>
      </c>
      <c r="M126" s="10" t="s">
        <v>66</v>
      </c>
      <c r="N126" s="3" t="n">
        <f aca="false">COUNTIF(B126:M126,"Y")</f>
        <v>2</v>
      </c>
    </row>
    <row r="127" customFormat="false" ht="15" hidden="false" customHeight="false" outlineLevel="0" collapsed="false">
      <c r="A127" s="3" t="str">
        <f aca="false">Studies!A127</f>
        <v>S126</v>
      </c>
      <c r="B127" s="10" t="s">
        <v>61</v>
      </c>
      <c r="C127" s="10" t="s">
        <v>61</v>
      </c>
      <c r="D127" s="10" t="s">
        <v>66</v>
      </c>
      <c r="E127" s="10" t="s">
        <v>61</v>
      </c>
      <c r="F127" s="10" t="s">
        <v>66</v>
      </c>
      <c r="G127" s="10" t="s">
        <v>66</v>
      </c>
      <c r="H127" s="10" t="s">
        <v>66</v>
      </c>
      <c r="I127" s="10" t="s">
        <v>66</v>
      </c>
      <c r="J127" s="10" t="s">
        <v>66</v>
      </c>
      <c r="K127" s="10" t="s">
        <v>61</v>
      </c>
      <c r="L127" s="10" t="s">
        <v>61</v>
      </c>
      <c r="M127" s="10" t="s">
        <v>66</v>
      </c>
      <c r="N127" s="3" t="n">
        <f aca="false">COUNTIF(B127:M127,"Y")</f>
        <v>5</v>
      </c>
    </row>
    <row r="128" customFormat="false" ht="15" hidden="false" customHeight="false" outlineLevel="0" collapsed="false">
      <c r="A128" s="3" t="str">
        <f aca="false">Studies!A128</f>
        <v>S127</v>
      </c>
      <c r="B128" s="10" t="s">
        <v>61</v>
      </c>
      <c r="C128" s="10" t="s">
        <v>61</v>
      </c>
      <c r="D128" s="10" t="s">
        <v>66</v>
      </c>
      <c r="E128" s="10" t="s">
        <v>61</v>
      </c>
      <c r="F128" s="10" t="s">
        <v>61</v>
      </c>
      <c r="G128" s="10" t="s">
        <v>66</v>
      </c>
      <c r="H128" s="10" t="s">
        <v>61</v>
      </c>
      <c r="I128" s="10" t="s">
        <v>66</v>
      </c>
      <c r="J128" s="10" t="s">
        <v>61</v>
      </c>
      <c r="K128" s="10" t="s">
        <v>61</v>
      </c>
      <c r="L128" s="10" t="s">
        <v>61</v>
      </c>
      <c r="M128" s="10" t="s">
        <v>66</v>
      </c>
      <c r="N128" s="3" t="n">
        <f aca="false">COUNTIF(B128:M128,"Y")</f>
        <v>8</v>
      </c>
    </row>
    <row r="129" customFormat="false" ht="15" hidden="false" customHeight="false" outlineLevel="0" collapsed="false">
      <c r="A129" s="3" t="str">
        <f aca="false">Studies!A129</f>
        <v>S128</v>
      </c>
      <c r="B129" s="10" t="s">
        <v>66</v>
      </c>
      <c r="C129" s="10" t="s">
        <v>61</v>
      </c>
      <c r="D129" s="10" t="s">
        <v>66</v>
      </c>
      <c r="E129" s="10" t="s">
        <v>61</v>
      </c>
      <c r="F129" s="10" t="s">
        <v>61</v>
      </c>
      <c r="G129" s="10" t="s">
        <v>61</v>
      </c>
      <c r="H129" s="10" t="s">
        <v>66</v>
      </c>
      <c r="I129" s="10" t="s">
        <v>66</v>
      </c>
      <c r="J129" s="10" t="s">
        <v>61</v>
      </c>
      <c r="K129" s="10" t="s">
        <v>61</v>
      </c>
      <c r="L129" s="10" t="s">
        <v>61</v>
      </c>
      <c r="M129" s="10" t="s">
        <v>66</v>
      </c>
      <c r="N129" s="3" t="n">
        <f aca="false">COUNTIF(B129:M129,"Y")</f>
        <v>7</v>
      </c>
    </row>
    <row r="130" customFormat="false" ht="15" hidden="false" customHeight="false" outlineLevel="0" collapsed="false">
      <c r="A130" s="3" t="str">
        <f aca="false">Studies!A130</f>
        <v>S129</v>
      </c>
      <c r="B130" s="10" t="s">
        <v>61</v>
      </c>
      <c r="C130" s="10" t="s">
        <v>66</v>
      </c>
      <c r="D130" s="10" t="s">
        <v>66</v>
      </c>
      <c r="E130" s="10" t="s">
        <v>66</v>
      </c>
      <c r="F130" s="10" t="s">
        <v>66</v>
      </c>
      <c r="G130" s="10" t="s">
        <v>66</v>
      </c>
      <c r="H130" s="10" t="s">
        <v>66</v>
      </c>
      <c r="I130" s="10" t="s">
        <v>61</v>
      </c>
      <c r="J130" s="10" t="s">
        <v>66</v>
      </c>
      <c r="K130" s="10" t="s">
        <v>61</v>
      </c>
      <c r="L130" s="10" t="s">
        <v>61</v>
      </c>
      <c r="M130" s="10" t="s">
        <v>66</v>
      </c>
      <c r="N130" s="3" t="n">
        <f aca="false">COUNTIF(B130:M130,"Y")</f>
        <v>4</v>
      </c>
    </row>
    <row r="131" customFormat="false" ht="15" hidden="false" customHeight="false" outlineLevel="0" collapsed="false">
      <c r="A131" s="3" t="str">
        <f aca="false">Studies!A131</f>
        <v>S130</v>
      </c>
      <c r="B131" s="10" t="s">
        <v>61</v>
      </c>
      <c r="C131" s="10" t="s">
        <v>61</v>
      </c>
      <c r="D131" s="10" t="s">
        <v>66</v>
      </c>
      <c r="E131" s="10" t="s">
        <v>61</v>
      </c>
      <c r="F131" s="10" t="s">
        <v>66</v>
      </c>
      <c r="G131" s="10" t="s">
        <v>61</v>
      </c>
      <c r="H131" s="10" t="s">
        <v>66</v>
      </c>
      <c r="I131" s="10" t="s">
        <v>66</v>
      </c>
      <c r="J131" s="10" t="s">
        <v>66</v>
      </c>
      <c r="K131" s="10" t="s">
        <v>66</v>
      </c>
      <c r="L131" s="10" t="s">
        <v>61</v>
      </c>
      <c r="M131" s="10" t="s">
        <v>66</v>
      </c>
      <c r="N131" s="3" t="n">
        <f aca="false">COUNTIF(B131:M131,"Y")</f>
        <v>5</v>
      </c>
    </row>
  </sheetData>
  <dataValidations count="1">
    <dataValidation allowBlank="true" errorStyle="stop" operator="between" showDropDown="false" showErrorMessage="false" showInputMessage="false" sqref="B2:M131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</cols>
  <sheetData>
    <row r="1" customFormat="false" ht="45" hidden="false" customHeight="true" outlineLevel="0" collapsed="false">
      <c r="A1" s="8" t="s">
        <v>9</v>
      </c>
      <c r="B1" s="8" t="s">
        <v>1113</v>
      </c>
    </row>
    <row r="2" customFormat="false" ht="15" hidden="false" customHeight="false" outlineLevel="0" collapsed="false">
      <c r="A2" s="3" t="str">
        <f aca="false">Studies!A2</f>
        <v>S001</v>
      </c>
      <c r="B2" s="10" t="s">
        <v>1114</v>
      </c>
    </row>
    <row r="3" customFormat="false" ht="15" hidden="false" customHeight="false" outlineLevel="0" collapsed="false">
      <c r="A3" s="3" t="str">
        <f aca="false">Studies!A3</f>
        <v>S002</v>
      </c>
      <c r="B3" s="10" t="s">
        <v>1114</v>
      </c>
    </row>
    <row r="4" customFormat="false" ht="15" hidden="false" customHeight="false" outlineLevel="0" collapsed="false">
      <c r="A4" s="3" t="str">
        <f aca="false">Studies!A4</f>
        <v>S003</v>
      </c>
      <c r="B4" s="10" t="s">
        <v>1114</v>
      </c>
    </row>
    <row r="5" customFormat="false" ht="15" hidden="false" customHeight="false" outlineLevel="0" collapsed="false">
      <c r="A5" s="3" t="str">
        <f aca="false">Studies!A5</f>
        <v>S004</v>
      </c>
      <c r="B5" s="10" t="s">
        <v>1114</v>
      </c>
    </row>
    <row r="6" customFormat="false" ht="15" hidden="false" customHeight="false" outlineLevel="0" collapsed="false">
      <c r="A6" s="3" t="str">
        <f aca="false">Studies!A6</f>
        <v>S005</v>
      </c>
      <c r="B6" s="10" t="s">
        <v>1114</v>
      </c>
    </row>
    <row r="7" customFormat="false" ht="15" hidden="false" customHeight="false" outlineLevel="0" collapsed="false">
      <c r="A7" s="3" t="str">
        <f aca="false">Studies!A7</f>
        <v>S006</v>
      </c>
      <c r="B7" s="10" t="s">
        <v>1114</v>
      </c>
    </row>
    <row r="8" customFormat="false" ht="15" hidden="false" customHeight="false" outlineLevel="0" collapsed="false">
      <c r="A8" s="3" t="str">
        <f aca="false">Studies!A8</f>
        <v>S007</v>
      </c>
      <c r="B8" s="10" t="s">
        <v>1114</v>
      </c>
    </row>
    <row r="9" customFormat="false" ht="15" hidden="false" customHeight="false" outlineLevel="0" collapsed="false">
      <c r="A9" s="3" t="str">
        <f aca="false">Studies!A9</f>
        <v>S008</v>
      </c>
      <c r="B9" s="10" t="s">
        <v>1114</v>
      </c>
    </row>
    <row r="10" customFormat="false" ht="15" hidden="false" customHeight="false" outlineLevel="0" collapsed="false">
      <c r="A10" s="3" t="str">
        <f aca="false">Studies!A10</f>
        <v>S009</v>
      </c>
      <c r="B10" s="10" t="s">
        <v>1114</v>
      </c>
    </row>
    <row r="11" customFormat="false" ht="15" hidden="false" customHeight="false" outlineLevel="0" collapsed="false">
      <c r="A11" s="3" t="str">
        <f aca="false">Studies!A11</f>
        <v>S010</v>
      </c>
      <c r="B11" s="10" t="s">
        <v>1114</v>
      </c>
    </row>
    <row r="12" customFormat="false" ht="15" hidden="false" customHeight="false" outlineLevel="0" collapsed="false">
      <c r="A12" s="3" t="str">
        <f aca="false">Studies!A12</f>
        <v>S011</v>
      </c>
      <c r="B12" s="10" t="s">
        <v>1114</v>
      </c>
    </row>
    <row r="13" customFormat="false" ht="15" hidden="false" customHeight="false" outlineLevel="0" collapsed="false">
      <c r="A13" s="3" t="str">
        <f aca="false">Studies!A13</f>
        <v>S012</v>
      </c>
      <c r="B13" s="10" t="s">
        <v>1114</v>
      </c>
    </row>
    <row r="14" customFormat="false" ht="15" hidden="false" customHeight="false" outlineLevel="0" collapsed="false">
      <c r="A14" s="3" t="str">
        <f aca="false">Studies!A14</f>
        <v>S013</v>
      </c>
      <c r="B14" s="10" t="s">
        <v>1114</v>
      </c>
    </row>
    <row r="15" customFormat="false" ht="15" hidden="false" customHeight="false" outlineLevel="0" collapsed="false">
      <c r="A15" s="3" t="str">
        <f aca="false">Studies!A15</f>
        <v>S014</v>
      </c>
      <c r="B15" s="10" t="s">
        <v>1114</v>
      </c>
    </row>
    <row r="16" customFormat="false" ht="15" hidden="false" customHeight="false" outlineLevel="0" collapsed="false">
      <c r="A16" s="3" t="str">
        <f aca="false">Studies!A16</f>
        <v>S015</v>
      </c>
      <c r="B16" s="10" t="s">
        <v>1114</v>
      </c>
    </row>
    <row r="17" customFormat="false" ht="15" hidden="false" customHeight="false" outlineLevel="0" collapsed="false">
      <c r="A17" s="3" t="str">
        <f aca="false">Studies!A17</f>
        <v>S016</v>
      </c>
      <c r="B17" s="10" t="s">
        <v>1114</v>
      </c>
    </row>
    <row r="18" customFormat="false" ht="15" hidden="false" customHeight="false" outlineLevel="0" collapsed="false">
      <c r="A18" s="3" t="str">
        <f aca="false">Studies!A18</f>
        <v>S017</v>
      </c>
      <c r="B18" s="10" t="s">
        <v>1114</v>
      </c>
    </row>
    <row r="19" customFormat="false" ht="15" hidden="false" customHeight="false" outlineLevel="0" collapsed="false">
      <c r="A19" s="3" t="str">
        <f aca="false">Studies!A19</f>
        <v>S018</v>
      </c>
      <c r="B19" s="10" t="s">
        <v>1114</v>
      </c>
    </row>
    <row r="20" customFormat="false" ht="15" hidden="false" customHeight="false" outlineLevel="0" collapsed="false">
      <c r="A20" s="3" t="str">
        <f aca="false">Studies!A20</f>
        <v>S019</v>
      </c>
      <c r="B20" s="10" t="s">
        <v>1114</v>
      </c>
    </row>
    <row r="21" customFormat="false" ht="15" hidden="false" customHeight="false" outlineLevel="0" collapsed="false">
      <c r="A21" s="3" t="str">
        <f aca="false">Studies!A21</f>
        <v>S020</v>
      </c>
      <c r="B21" s="10" t="s">
        <v>1114</v>
      </c>
    </row>
    <row r="22" customFormat="false" ht="15" hidden="false" customHeight="false" outlineLevel="0" collapsed="false">
      <c r="A22" s="3" t="str">
        <f aca="false">Studies!A22</f>
        <v>S021</v>
      </c>
      <c r="B22" s="10" t="s">
        <v>1114</v>
      </c>
    </row>
    <row r="23" customFormat="false" ht="15" hidden="false" customHeight="false" outlineLevel="0" collapsed="false">
      <c r="A23" s="3" t="str">
        <f aca="false">Studies!A23</f>
        <v>S022</v>
      </c>
      <c r="B23" s="10" t="s">
        <v>1115</v>
      </c>
    </row>
    <row r="24" customFormat="false" ht="15" hidden="false" customHeight="false" outlineLevel="0" collapsed="false">
      <c r="A24" s="3" t="str">
        <f aca="false">Studies!A24</f>
        <v>S023</v>
      </c>
      <c r="B24" s="10" t="s">
        <v>1115</v>
      </c>
    </row>
    <row r="25" customFormat="false" ht="15" hidden="false" customHeight="false" outlineLevel="0" collapsed="false">
      <c r="A25" s="3" t="str">
        <f aca="false">Studies!A25</f>
        <v>S024</v>
      </c>
      <c r="B25" s="10" t="s">
        <v>1114</v>
      </c>
    </row>
    <row r="26" customFormat="false" ht="15" hidden="false" customHeight="false" outlineLevel="0" collapsed="false">
      <c r="A26" s="3" t="str">
        <f aca="false">Studies!A26</f>
        <v>S025</v>
      </c>
      <c r="B26" s="10" t="s">
        <v>1114</v>
      </c>
    </row>
    <row r="27" customFormat="false" ht="15" hidden="false" customHeight="false" outlineLevel="0" collapsed="false">
      <c r="A27" s="3" t="str">
        <f aca="false">Studies!A27</f>
        <v>S026</v>
      </c>
      <c r="B27" s="10" t="s">
        <v>1114</v>
      </c>
    </row>
    <row r="28" customFormat="false" ht="15" hidden="false" customHeight="false" outlineLevel="0" collapsed="false">
      <c r="A28" s="3" t="str">
        <f aca="false">Studies!A28</f>
        <v>S027</v>
      </c>
      <c r="B28" s="10" t="s">
        <v>1114</v>
      </c>
    </row>
    <row r="29" customFormat="false" ht="15" hidden="false" customHeight="false" outlineLevel="0" collapsed="false">
      <c r="A29" s="3" t="str">
        <f aca="false">Studies!A29</f>
        <v>S028</v>
      </c>
      <c r="B29" s="10" t="s">
        <v>1116</v>
      </c>
    </row>
    <row r="30" customFormat="false" ht="15" hidden="false" customHeight="false" outlineLevel="0" collapsed="false">
      <c r="A30" s="3" t="str">
        <f aca="false">Studies!A30</f>
        <v>S029</v>
      </c>
      <c r="B30" s="10" t="s">
        <v>1114</v>
      </c>
    </row>
    <row r="31" customFormat="false" ht="15" hidden="false" customHeight="false" outlineLevel="0" collapsed="false">
      <c r="A31" s="3" t="str">
        <f aca="false">Studies!A31</f>
        <v>S030</v>
      </c>
      <c r="B31" s="10" t="s">
        <v>1114</v>
      </c>
    </row>
    <row r="32" customFormat="false" ht="15" hidden="false" customHeight="false" outlineLevel="0" collapsed="false">
      <c r="A32" s="3" t="str">
        <f aca="false">Studies!A32</f>
        <v>S031</v>
      </c>
      <c r="B32" s="10" t="s">
        <v>1114</v>
      </c>
    </row>
    <row r="33" customFormat="false" ht="15" hidden="false" customHeight="false" outlineLevel="0" collapsed="false">
      <c r="A33" s="3" t="str">
        <f aca="false">Studies!A33</f>
        <v>S032</v>
      </c>
      <c r="B33" s="10" t="s">
        <v>1114</v>
      </c>
    </row>
    <row r="34" customFormat="false" ht="15" hidden="false" customHeight="false" outlineLevel="0" collapsed="false">
      <c r="A34" s="3" t="str">
        <f aca="false">Studies!A34</f>
        <v>S033</v>
      </c>
      <c r="B34" s="10" t="s">
        <v>1114</v>
      </c>
    </row>
    <row r="35" customFormat="false" ht="15" hidden="false" customHeight="false" outlineLevel="0" collapsed="false">
      <c r="A35" s="3" t="str">
        <f aca="false">Studies!A35</f>
        <v>S034</v>
      </c>
      <c r="B35" s="10" t="s">
        <v>1114</v>
      </c>
    </row>
    <row r="36" customFormat="false" ht="15" hidden="false" customHeight="false" outlineLevel="0" collapsed="false">
      <c r="A36" s="3" t="str">
        <f aca="false">Studies!A36</f>
        <v>S035</v>
      </c>
      <c r="B36" s="10" t="s">
        <v>1114</v>
      </c>
    </row>
    <row r="37" customFormat="false" ht="15" hidden="false" customHeight="false" outlineLevel="0" collapsed="false">
      <c r="A37" s="3" t="str">
        <f aca="false">Studies!A37</f>
        <v>S036</v>
      </c>
      <c r="B37" s="10" t="s">
        <v>1116</v>
      </c>
    </row>
    <row r="38" customFormat="false" ht="15" hidden="false" customHeight="false" outlineLevel="0" collapsed="false">
      <c r="A38" s="3" t="str">
        <f aca="false">Studies!A38</f>
        <v>S037</v>
      </c>
      <c r="B38" s="10" t="s">
        <v>1115</v>
      </c>
    </row>
    <row r="39" customFormat="false" ht="15" hidden="false" customHeight="false" outlineLevel="0" collapsed="false">
      <c r="A39" s="3" t="str">
        <f aca="false">Studies!A39</f>
        <v>S038</v>
      </c>
      <c r="B39" s="10" t="s">
        <v>1116</v>
      </c>
    </row>
    <row r="40" customFormat="false" ht="15" hidden="false" customHeight="false" outlineLevel="0" collapsed="false">
      <c r="A40" s="3" t="str">
        <f aca="false">Studies!A40</f>
        <v>S039</v>
      </c>
      <c r="B40" s="10" t="s">
        <v>1115</v>
      </c>
    </row>
    <row r="41" customFormat="false" ht="15" hidden="false" customHeight="false" outlineLevel="0" collapsed="false">
      <c r="A41" s="3" t="str">
        <f aca="false">Studies!A41</f>
        <v>S040</v>
      </c>
      <c r="B41" s="10" t="s">
        <v>1114</v>
      </c>
    </row>
    <row r="42" customFormat="false" ht="15" hidden="false" customHeight="false" outlineLevel="0" collapsed="false">
      <c r="A42" s="3" t="str">
        <f aca="false">Studies!A42</f>
        <v>S041</v>
      </c>
      <c r="B42" s="10" t="s">
        <v>1114</v>
      </c>
    </row>
    <row r="43" customFormat="false" ht="15" hidden="false" customHeight="false" outlineLevel="0" collapsed="false">
      <c r="A43" s="3" t="str">
        <f aca="false">Studies!A43</f>
        <v>S042</v>
      </c>
      <c r="B43" s="10" t="s">
        <v>1114</v>
      </c>
    </row>
    <row r="44" customFormat="false" ht="15" hidden="false" customHeight="false" outlineLevel="0" collapsed="false">
      <c r="A44" s="3" t="str">
        <f aca="false">Studies!A44</f>
        <v>S043</v>
      </c>
      <c r="B44" s="10" t="s">
        <v>1114</v>
      </c>
    </row>
    <row r="45" customFormat="false" ht="15" hidden="false" customHeight="false" outlineLevel="0" collapsed="false">
      <c r="A45" s="3" t="str">
        <f aca="false">Studies!A45</f>
        <v>S044</v>
      </c>
      <c r="B45" s="10" t="s">
        <v>1116</v>
      </c>
    </row>
    <row r="46" customFormat="false" ht="15" hidden="false" customHeight="false" outlineLevel="0" collapsed="false">
      <c r="A46" s="3" t="str">
        <f aca="false">Studies!A46</f>
        <v>S045</v>
      </c>
      <c r="B46" s="10" t="s">
        <v>1116</v>
      </c>
    </row>
    <row r="47" customFormat="false" ht="15" hidden="false" customHeight="false" outlineLevel="0" collapsed="false">
      <c r="A47" s="3" t="str">
        <f aca="false">Studies!A47</f>
        <v>S046</v>
      </c>
      <c r="B47" s="10" t="s">
        <v>1114</v>
      </c>
    </row>
    <row r="48" customFormat="false" ht="15" hidden="false" customHeight="false" outlineLevel="0" collapsed="false">
      <c r="A48" s="3" t="str">
        <f aca="false">Studies!A48</f>
        <v>S047</v>
      </c>
      <c r="B48" s="10" t="s">
        <v>1114</v>
      </c>
    </row>
    <row r="49" customFormat="false" ht="15" hidden="false" customHeight="false" outlineLevel="0" collapsed="false">
      <c r="A49" s="3" t="str">
        <f aca="false">Studies!A49</f>
        <v>S048</v>
      </c>
      <c r="B49" s="10" t="s">
        <v>1114</v>
      </c>
    </row>
    <row r="50" customFormat="false" ht="15" hidden="false" customHeight="false" outlineLevel="0" collapsed="false">
      <c r="A50" s="3" t="str">
        <f aca="false">Studies!A50</f>
        <v>S049</v>
      </c>
      <c r="B50" s="10" t="s">
        <v>1115</v>
      </c>
    </row>
    <row r="51" customFormat="false" ht="15" hidden="false" customHeight="false" outlineLevel="0" collapsed="false">
      <c r="A51" s="3" t="str">
        <f aca="false">Studies!A51</f>
        <v>S050</v>
      </c>
      <c r="B51" s="10" t="s">
        <v>1116</v>
      </c>
    </row>
    <row r="52" customFormat="false" ht="15" hidden="false" customHeight="false" outlineLevel="0" collapsed="false">
      <c r="A52" s="3" t="str">
        <f aca="false">Studies!A52</f>
        <v>S051</v>
      </c>
      <c r="B52" s="10" t="s">
        <v>1114</v>
      </c>
    </row>
    <row r="53" customFormat="false" ht="15" hidden="false" customHeight="false" outlineLevel="0" collapsed="false">
      <c r="A53" s="3" t="str">
        <f aca="false">Studies!A53</f>
        <v>S052</v>
      </c>
      <c r="B53" s="10" t="s">
        <v>1114</v>
      </c>
    </row>
    <row r="54" customFormat="false" ht="15" hidden="false" customHeight="false" outlineLevel="0" collapsed="false">
      <c r="A54" s="3" t="str">
        <f aca="false">Studies!A54</f>
        <v>S053</v>
      </c>
      <c r="B54" s="10" t="s">
        <v>1114</v>
      </c>
    </row>
    <row r="55" customFormat="false" ht="15" hidden="false" customHeight="false" outlineLevel="0" collapsed="false">
      <c r="A55" s="3" t="str">
        <f aca="false">Studies!A55</f>
        <v>S054</v>
      </c>
      <c r="B55" s="10" t="s">
        <v>1114</v>
      </c>
    </row>
    <row r="56" customFormat="false" ht="15" hidden="false" customHeight="false" outlineLevel="0" collapsed="false">
      <c r="A56" s="3" t="str">
        <f aca="false">Studies!A56</f>
        <v>S055</v>
      </c>
      <c r="B56" s="10" t="s">
        <v>1115</v>
      </c>
    </row>
    <row r="57" customFormat="false" ht="15" hidden="false" customHeight="false" outlineLevel="0" collapsed="false">
      <c r="A57" s="3" t="str">
        <f aca="false">Studies!A57</f>
        <v>S056</v>
      </c>
      <c r="B57" s="10" t="s">
        <v>1114</v>
      </c>
    </row>
    <row r="58" customFormat="false" ht="15" hidden="false" customHeight="false" outlineLevel="0" collapsed="false">
      <c r="A58" s="3" t="str">
        <f aca="false">Studies!A58</f>
        <v>S057</v>
      </c>
      <c r="B58" s="10" t="s">
        <v>1114</v>
      </c>
    </row>
    <row r="59" customFormat="false" ht="15" hidden="false" customHeight="false" outlineLevel="0" collapsed="false">
      <c r="A59" s="3" t="str">
        <f aca="false">Studies!A59</f>
        <v>S058</v>
      </c>
      <c r="B59" s="10" t="s">
        <v>1114</v>
      </c>
    </row>
    <row r="60" customFormat="false" ht="15" hidden="false" customHeight="false" outlineLevel="0" collapsed="false">
      <c r="A60" s="3" t="str">
        <f aca="false">Studies!A60</f>
        <v>S059</v>
      </c>
      <c r="B60" s="10" t="s">
        <v>1114</v>
      </c>
    </row>
    <row r="61" customFormat="false" ht="15" hidden="false" customHeight="false" outlineLevel="0" collapsed="false">
      <c r="A61" s="3" t="str">
        <f aca="false">Studies!A61</f>
        <v>S060</v>
      </c>
      <c r="B61" s="10" t="s">
        <v>1114</v>
      </c>
    </row>
    <row r="62" customFormat="false" ht="15" hidden="false" customHeight="false" outlineLevel="0" collapsed="false">
      <c r="A62" s="3" t="str">
        <f aca="false">Studies!A62</f>
        <v>S061</v>
      </c>
      <c r="B62" s="10" t="s">
        <v>1114</v>
      </c>
    </row>
    <row r="63" customFormat="false" ht="15" hidden="false" customHeight="false" outlineLevel="0" collapsed="false">
      <c r="A63" s="3" t="str">
        <f aca="false">Studies!A63</f>
        <v>S062</v>
      </c>
      <c r="B63" s="10" t="s">
        <v>1117</v>
      </c>
    </row>
    <row r="64" customFormat="false" ht="15" hidden="false" customHeight="false" outlineLevel="0" collapsed="false">
      <c r="A64" s="3" t="str">
        <f aca="false">Studies!A64</f>
        <v>S063</v>
      </c>
      <c r="B64" s="10" t="s">
        <v>1114</v>
      </c>
    </row>
    <row r="65" customFormat="false" ht="15" hidden="false" customHeight="false" outlineLevel="0" collapsed="false">
      <c r="A65" s="3" t="str">
        <f aca="false">Studies!A65</f>
        <v>S064</v>
      </c>
      <c r="B65" s="10" t="s">
        <v>1116</v>
      </c>
    </row>
    <row r="66" customFormat="false" ht="15" hidden="false" customHeight="false" outlineLevel="0" collapsed="false">
      <c r="A66" s="3" t="str">
        <f aca="false">Studies!A66</f>
        <v>S065</v>
      </c>
      <c r="B66" s="10" t="s">
        <v>1115</v>
      </c>
    </row>
    <row r="67" customFormat="false" ht="15" hidden="false" customHeight="false" outlineLevel="0" collapsed="false">
      <c r="A67" s="3" t="str">
        <f aca="false">Studies!A67</f>
        <v>S066</v>
      </c>
      <c r="B67" s="10" t="s">
        <v>1114</v>
      </c>
    </row>
    <row r="68" customFormat="false" ht="15" hidden="false" customHeight="false" outlineLevel="0" collapsed="false">
      <c r="A68" s="3" t="str">
        <f aca="false">Studies!A68</f>
        <v>S067</v>
      </c>
      <c r="B68" s="10" t="s">
        <v>1114</v>
      </c>
    </row>
    <row r="69" customFormat="false" ht="15" hidden="false" customHeight="false" outlineLevel="0" collapsed="false">
      <c r="A69" s="3" t="str">
        <f aca="false">Studies!A69</f>
        <v>S068</v>
      </c>
      <c r="B69" s="10" t="s">
        <v>1114</v>
      </c>
    </row>
    <row r="70" customFormat="false" ht="15" hidden="false" customHeight="false" outlineLevel="0" collapsed="false">
      <c r="A70" s="3" t="str">
        <f aca="false">Studies!A70</f>
        <v>S069</v>
      </c>
      <c r="B70" s="10" t="s">
        <v>1116</v>
      </c>
    </row>
    <row r="71" customFormat="false" ht="15" hidden="false" customHeight="false" outlineLevel="0" collapsed="false">
      <c r="A71" s="3" t="str">
        <f aca="false">Studies!A71</f>
        <v>S070</v>
      </c>
      <c r="B71" s="10" t="s">
        <v>1114</v>
      </c>
    </row>
    <row r="72" customFormat="false" ht="15" hidden="false" customHeight="false" outlineLevel="0" collapsed="false">
      <c r="A72" s="3" t="str">
        <f aca="false">Studies!A72</f>
        <v>S071</v>
      </c>
      <c r="B72" s="10" t="s">
        <v>1115</v>
      </c>
    </row>
    <row r="73" customFormat="false" ht="15" hidden="false" customHeight="false" outlineLevel="0" collapsed="false">
      <c r="A73" s="3" t="str">
        <f aca="false">Studies!A73</f>
        <v>S072</v>
      </c>
      <c r="B73" s="10" t="s">
        <v>1114</v>
      </c>
    </row>
    <row r="74" customFormat="false" ht="15" hidden="false" customHeight="false" outlineLevel="0" collapsed="false">
      <c r="A74" s="3" t="str">
        <f aca="false">Studies!A74</f>
        <v>S073</v>
      </c>
      <c r="B74" s="10" t="s">
        <v>1117</v>
      </c>
    </row>
    <row r="75" customFormat="false" ht="15" hidden="false" customHeight="false" outlineLevel="0" collapsed="false">
      <c r="A75" s="3" t="str">
        <f aca="false">Studies!A75</f>
        <v>S074</v>
      </c>
      <c r="B75" s="10" t="s">
        <v>1114</v>
      </c>
    </row>
    <row r="76" customFormat="false" ht="15" hidden="false" customHeight="false" outlineLevel="0" collapsed="false">
      <c r="A76" s="3" t="str">
        <f aca="false">Studies!A76</f>
        <v>S075</v>
      </c>
      <c r="B76" s="10" t="s">
        <v>1115</v>
      </c>
    </row>
    <row r="77" customFormat="false" ht="15" hidden="false" customHeight="false" outlineLevel="0" collapsed="false">
      <c r="A77" s="3" t="str">
        <f aca="false">Studies!A77</f>
        <v>S076</v>
      </c>
      <c r="B77" s="10" t="s">
        <v>1114</v>
      </c>
    </row>
    <row r="78" customFormat="false" ht="15" hidden="false" customHeight="false" outlineLevel="0" collapsed="false">
      <c r="A78" s="3" t="str">
        <f aca="false">Studies!A78</f>
        <v>S077</v>
      </c>
      <c r="B78" s="10" t="s">
        <v>1116</v>
      </c>
    </row>
    <row r="79" customFormat="false" ht="15" hidden="false" customHeight="false" outlineLevel="0" collapsed="false">
      <c r="A79" s="3" t="str">
        <f aca="false">Studies!A79</f>
        <v>S078</v>
      </c>
      <c r="B79" s="10" t="s">
        <v>1114</v>
      </c>
    </row>
    <row r="80" customFormat="false" ht="15" hidden="false" customHeight="false" outlineLevel="0" collapsed="false">
      <c r="A80" s="3" t="str">
        <f aca="false">Studies!A80</f>
        <v>S079</v>
      </c>
      <c r="B80" s="10" t="s">
        <v>1116</v>
      </c>
    </row>
    <row r="81" customFormat="false" ht="15" hidden="false" customHeight="false" outlineLevel="0" collapsed="false">
      <c r="A81" s="3" t="str">
        <f aca="false">Studies!A81</f>
        <v>S080</v>
      </c>
      <c r="B81" s="10" t="s">
        <v>1114</v>
      </c>
    </row>
    <row r="82" customFormat="false" ht="15" hidden="false" customHeight="false" outlineLevel="0" collapsed="false">
      <c r="A82" s="3" t="str">
        <f aca="false">Studies!A82</f>
        <v>S081</v>
      </c>
      <c r="B82" s="10" t="s">
        <v>1116</v>
      </c>
    </row>
    <row r="83" customFormat="false" ht="15" hidden="false" customHeight="false" outlineLevel="0" collapsed="false">
      <c r="A83" s="3" t="str">
        <f aca="false">Studies!A83</f>
        <v>S082</v>
      </c>
      <c r="B83" s="10" t="s">
        <v>1116</v>
      </c>
    </row>
    <row r="84" customFormat="false" ht="15" hidden="false" customHeight="false" outlineLevel="0" collapsed="false">
      <c r="A84" s="3" t="str">
        <f aca="false">Studies!A84</f>
        <v>S083</v>
      </c>
      <c r="B84" s="10" t="s">
        <v>1114</v>
      </c>
    </row>
    <row r="85" customFormat="false" ht="15" hidden="false" customHeight="false" outlineLevel="0" collapsed="false">
      <c r="A85" s="3" t="str">
        <f aca="false">Studies!A85</f>
        <v>S084</v>
      </c>
      <c r="B85" s="10" t="s">
        <v>1117</v>
      </c>
    </row>
    <row r="86" customFormat="false" ht="15" hidden="false" customHeight="false" outlineLevel="0" collapsed="false">
      <c r="A86" s="3" t="str">
        <f aca="false">Studies!A86</f>
        <v>S085</v>
      </c>
      <c r="B86" s="10" t="s">
        <v>1114</v>
      </c>
    </row>
    <row r="87" customFormat="false" ht="15" hidden="false" customHeight="false" outlineLevel="0" collapsed="false">
      <c r="A87" s="3" t="str">
        <f aca="false">Studies!A87</f>
        <v>S086</v>
      </c>
      <c r="B87" s="10" t="s">
        <v>1114</v>
      </c>
    </row>
    <row r="88" customFormat="false" ht="15" hidden="false" customHeight="false" outlineLevel="0" collapsed="false">
      <c r="A88" s="3" t="str">
        <f aca="false">Studies!A88</f>
        <v>S087</v>
      </c>
      <c r="B88" s="10" t="s">
        <v>1114</v>
      </c>
    </row>
    <row r="89" customFormat="false" ht="15" hidden="false" customHeight="false" outlineLevel="0" collapsed="false">
      <c r="A89" s="3" t="str">
        <f aca="false">Studies!A89</f>
        <v>S088</v>
      </c>
      <c r="B89" s="10" t="s">
        <v>1116</v>
      </c>
    </row>
    <row r="90" customFormat="false" ht="15" hidden="false" customHeight="false" outlineLevel="0" collapsed="false">
      <c r="A90" s="3" t="str">
        <f aca="false">Studies!A90</f>
        <v>S089</v>
      </c>
      <c r="B90" s="10" t="s">
        <v>1114</v>
      </c>
    </row>
    <row r="91" customFormat="false" ht="15" hidden="false" customHeight="false" outlineLevel="0" collapsed="false">
      <c r="A91" s="3" t="str">
        <f aca="false">Studies!A91</f>
        <v>S090</v>
      </c>
      <c r="B91" s="10" t="s">
        <v>1114</v>
      </c>
    </row>
    <row r="92" customFormat="false" ht="15" hidden="false" customHeight="false" outlineLevel="0" collapsed="false">
      <c r="A92" s="3" t="str">
        <f aca="false">Studies!A92</f>
        <v>S091</v>
      </c>
      <c r="B92" s="10" t="s">
        <v>1114</v>
      </c>
    </row>
    <row r="93" customFormat="false" ht="15" hidden="false" customHeight="false" outlineLevel="0" collapsed="false">
      <c r="A93" s="3" t="str">
        <f aca="false">Studies!A93</f>
        <v>S092</v>
      </c>
      <c r="B93" s="10" t="s">
        <v>1115</v>
      </c>
    </row>
    <row r="94" customFormat="false" ht="15" hidden="false" customHeight="false" outlineLevel="0" collapsed="false">
      <c r="A94" s="3" t="str">
        <f aca="false">Studies!A94</f>
        <v>S093</v>
      </c>
      <c r="B94" s="10" t="s">
        <v>1114</v>
      </c>
    </row>
    <row r="95" customFormat="false" ht="15" hidden="false" customHeight="false" outlineLevel="0" collapsed="false">
      <c r="A95" s="3" t="str">
        <f aca="false">Studies!A95</f>
        <v>S094</v>
      </c>
      <c r="B95" s="10" t="s">
        <v>1114</v>
      </c>
    </row>
    <row r="96" customFormat="false" ht="15" hidden="false" customHeight="false" outlineLevel="0" collapsed="false">
      <c r="A96" s="3" t="str">
        <f aca="false">Studies!A96</f>
        <v>S095</v>
      </c>
      <c r="B96" s="10" t="s">
        <v>1114</v>
      </c>
    </row>
    <row r="97" customFormat="false" ht="15" hidden="false" customHeight="false" outlineLevel="0" collapsed="false">
      <c r="A97" s="3" t="str">
        <f aca="false">Studies!A97</f>
        <v>S096</v>
      </c>
      <c r="B97" s="10" t="s">
        <v>1114</v>
      </c>
    </row>
    <row r="98" customFormat="false" ht="15" hidden="false" customHeight="false" outlineLevel="0" collapsed="false">
      <c r="A98" s="3" t="str">
        <f aca="false">Studies!A98</f>
        <v>S097</v>
      </c>
      <c r="B98" s="10" t="s">
        <v>1114</v>
      </c>
    </row>
    <row r="99" customFormat="false" ht="15" hidden="false" customHeight="false" outlineLevel="0" collapsed="false">
      <c r="A99" s="3" t="str">
        <f aca="false">Studies!A99</f>
        <v>S098</v>
      </c>
      <c r="B99" s="10" t="s">
        <v>1114</v>
      </c>
    </row>
    <row r="100" customFormat="false" ht="15" hidden="false" customHeight="false" outlineLevel="0" collapsed="false">
      <c r="A100" s="3" t="str">
        <f aca="false">Studies!A100</f>
        <v>S099</v>
      </c>
      <c r="B100" s="10" t="s">
        <v>1114</v>
      </c>
    </row>
    <row r="101" customFormat="false" ht="15" hidden="false" customHeight="false" outlineLevel="0" collapsed="false">
      <c r="A101" s="3" t="str">
        <f aca="false">Studies!A101</f>
        <v>S100</v>
      </c>
      <c r="B101" s="10" t="s">
        <v>1115</v>
      </c>
    </row>
    <row r="102" customFormat="false" ht="15" hidden="false" customHeight="false" outlineLevel="0" collapsed="false">
      <c r="A102" s="3" t="str">
        <f aca="false">Studies!A102</f>
        <v>S101</v>
      </c>
      <c r="B102" s="10" t="s">
        <v>1115</v>
      </c>
    </row>
    <row r="103" customFormat="false" ht="15" hidden="false" customHeight="false" outlineLevel="0" collapsed="false">
      <c r="A103" s="3" t="str">
        <f aca="false">Studies!A103</f>
        <v>S102</v>
      </c>
      <c r="B103" s="10" t="s">
        <v>1114</v>
      </c>
    </row>
    <row r="104" customFormat="false" ht="15" hidden="false" customHeight="false" outlineLevel="0" collapsed="false">
      <c r="A104" s="3" t="str">
        <f aca="false">Studies!A104</f>
        <v>S103</v>
      </c>
      <c r="B104" s="10" t="s">
        <v>1114</v>
      </c>
    </row>
    <row r="105" customFormat="false" ht="15" hidden="false" customHeight="false" outlineLevel="0" collapsed="false">
      <c r="A105" s="3" t="str">
        <f aca="false">Studies!A105</f>
        <v>S104</v>
      </c>
      <c r="B105" s="10" t="s">
        <v>1114</v>
      </c>
    </row>
    <row r="106" customFormat="false" ht="15" hidden="false" customHeight="false" outlineLevel="0" collapsed="false">
      <c r="A106" s="3" t="str">
        <f aca="false">Studies!A106</f>
        <v>S105</v>
      </c>
      <c r="B106" s="10" t="s">
        <v>1114</v>
      </c>
    </row>
    <row r="107" customFormat="false" ht="15" hidden="false" customHeight="false" outlineLevel="0" collapsed="false">
      <c r="A107" s="3" t="str">
        <f aca="false">Studies!A107</f>
        <v>S106</v>
      </c>
      <c r="B107" s="10" t="s">
        <v>1114</v>
      </c>
    </row>
    <row r="108" customFormat="false" ht="15" hidden="false" customHeight="false" outlineLevel="0" collapsed="false">
      <c r="A108" s="3" t="str">
        <f aca="false">Studies!A108</f>
        <v>S107</v>
      </c>
      <c r="B108" s="10" t="s">
        <v>1114</v>
      </c>
    </row>
    <row r="109" customFormat="false" ht="15" hidden="false" customHeight="false" outlineLevel="0" collapsed="false">
      <c r="A109" s="3" t="str">
        <f aca="false">Studies!A109</f>
        <v>S108</v>
      </c>
      <c r="B109" s="10" t="s">
        <v>1114</v>
      </c>
    </row>
    <row r="110" customFormat="false" ht="15" hidden="false" customHeight="false" outlineLevel="0" collapsed="false">
      <c r="A110" s="3" t="str">
        <f aca="false">Studies!A110</f>
        <v>S109</v>
      </c>
      <c r="B110" s="10" t="s">
        <v>1114</v>
      </c>
    </row>
    <row r="111" customFormat="false" ht="15" hidden="false" customHeight="false" outlineLevel="0" collapsed="false">
      <c r="A111" s="3" t="str">
        <f aca="false">Studies!A111</f>
        <v>S110</v>
      </c>
      <c r="B111" s="10" t="s">
        <v>1116</v>
      </c>
    </row>
    <row r="112" customFormat="false" ht="15" hidden="false" customHeight="false" outlineLevel="0" collapsed="false">
      <c r="A112" s="3" t="str">
        <f aca="false">Studies!A112</f>
        <v>S111</v>
      </c>
      <c r="B112" s="10" t="s">
        <v>1114</v>
      </c>
    </row>
    <row r="113" customFormat="false" ht="15" hidden="false" customHeight="false" outlineLevel="0" collapsed="false">
      <c r="A113" s="3" t="str">
        <f aca="false">Studies!A113</f>
        <v>S112</v>
      </c>
      <c r="B113" s="10" t="s">
        <v>1114</v>
      </c>
    </row>
    <row r="114" customFormat="false" ht="15" hidden="false" customHeight="false" outlineLevel="0" collapsed="false">
      <c r="A114" s="3" t="str">
        <f aca="false">Studies!A114</f>
        <v>S113</v>
      </c>
      <c r="B114" s="10" t="s">
        <v>1116</v>
      </c>
    </row>
    <row r="115" customFormat="false" ht="15" hidden="false" customHeight="false" outlineLevel="0" collapsed="false">
      <c r="A115" s="3" t="str">
        <f aca="false">Studies!A115</f>
        <v>S114</v>
      </c>
      <c r="B115" s="10" t="s">
        <v>1116</v>
      </c>
    </row>
    <row r="116" customFormat="false" ht="15" hidden="false" customHeight="false" outlineLevel="0" collapsed="false">
      <c r="A116" s="3" t="str">
        <f aca="false">Studies!A116</f>
        <v>S115</v>
      </c>
      <c r="B116" s="10" t="s">
        <v>1114</v>
      </c>
    </row>
    <row r="117" customFormat="false" ht="15" hidden="false" customHeight="false" outlineLevel="0" collapsed="false">
      <c r="A117" s="3" t="str">
        <f aca="false">Studies!A117</f>
        <v>S116</v>
      </c>
      <c r="B117" s="10" t="s">
        <v>1114</v>
      </c>
    </row>
    <row r="118" customFormat="false" ht="15" hidden="false" customHeight="false" outlineLevel="0" collapsed="false">
      <c r="A118" s="3" t="str">
        <f aca="false">Studies!A118</f>
        <v>S117</v>
      </c>
      <c r="B118" s="10" t="s">
        <v>1116</v>
      </c>
    </row>
    <row r="119" customFormat="false" ht="15" hidden="false" customHeight="false" outlineLevel="0" collapsed="false">
      <c r="A119" s="3" t="str">
        <f aca="false">Studies!A119</f>
        <v>S118</v>
      </c>
      <c r="B119" s="10" t="s">
        <v>1117</v>
      </c>
    </row>
    <row r="120" customFormat="false" ht="15" hidden="false" customHeight="false" outlineLevel="0" collapsed="false">
      <c r="A120" s="3" t="str">
        <f aca="false">Studies!A120</f>
        <v>S119</v>
      </c>
      <c r="B120" s="10" t="s">
        <v>1114</v>
      </c>
    </row>
    <row r="121" customFormat="false" ht="15" hidden="false" customHeight="false" outlineLevel="0" collapsed="false">
      <c r="A121" s="3" t="str">
        <f aca="false">Studies!A121</f>
        <v>S120</v>
      </c>
      <c r="B121" s="10" t="s">
        <v>1117</v>
      </c>
    </row>
    <row r="122" customFormat="false" ht="15" hidden="false" customHeight="false" outlineLevel="0" collapsed="false">
      <c r="A122" s="3" t="str">
        <f aca="false">Studies!A122</f>
        <v>S121</v>
      </c>
      <c r="B122" s="10" t="s">
        <v>1114</v>
      </c>
    </row>
    <row r="123" customFormat="false" ht="15" hidden="false" customHeight="false" outlineLevel="0" collapsed="false">
      <c r="A123" s="3" t="str">
        <f aca="false">Studies!A123</f>
        <v>S122</v>
      </c>
      <c r="B123" s="10" t="s">
        <v>1114</v>
      </c>
    </row>
    <row r="124" customFormat="false" ht="15" hidden="false" customHeight="false" outlineLevel="0" collapsed="false">
      <c r="A124" s="3" t="str">
        <f aca="false">Studies!A124</f>
        <v>S123</v>
      </c>
      <c r="B124" s="10" t="s">
        <v>1114</v>
      </c>
    </row>
    <row r="125" customFormat="false" ht="15" hidden="false" customHeight="false" outlineLevel="0" collapsed="false">
      <c r="A125" s="3" t="str">
        <f aca="false">Studies!A125</f>
        <v>S124</v>
      </c>
      <c r="B125" s="10" t="s">
        <v>1116</v>
      </c>
    </row>
    <row r="126" customFormat="false" ht="15" hidden="false" customHeight="false" outlineLevel="0" collapsed="false">
      <c r="A126" s="3" t="str">
        <f aca="false">Studies!A126</f>
        <v>S125</v>
      </c>
      <c r="B126" s="10" t="s">
        <v>1114</v>
      </c>
    </row>
    <row r="127" customFormat="false" ht="15" hidden="false" customHeight="false" outlineLevel="0" collapsed="false">
      <c r="A127" s="3" t="str">
        <f aca="false">Studies!A127</f>
        <v>S126</v>
      </c>
      <c r="B127" s="10" t="s">
        <v>1117</v>
      </c>
    </row>
    <row r="128" customFormat="false" ht="15" hidden="false" customHeight="false" outlineLevel="0" collapsed="false">
      <c r="A128" s="3" t="str">
        <f aca="false">Studies!A128</f>
        <v>S127</v>
      </c>
      <c r="B128" s="10" t="s">
        <v>1114</v>
      </c>
    </row>
    <row r="129" customFormat="false" ht="15" hidden="false" customHeight="false" outlineLevel="0" collapsed="false">
      <c r="A129" s="3" t="str">
        <f aca="false">Studies!A129</f>
        <v>S128</v>
      </c>
      <c r="B129" s="10" t="s">
        <v>1114</v>
      </c>
    </row>
    <row r="130" customFormat="false" ht="15" hidden="false" customHeight="false" outlineLevel="0" collapsed="false">
      <c r="A130" s="3" t="str">
        <f aca="false">Studies!A130</f>
        <v>S129</v>
      </c>
      <c r="B130" s="10" t="s">
        <v>1114</v>
      </c>
    </row>
    <row r="131" customFormat="false" ht="15" hidden="false" customHeight="false" outlineLevel="0" collapsed="false">
      <c r="A131" s="3" t="str">
        <f aca="false">Studies!A131</f>
        <v>S130</v>
      </c>
      <c r="B131" s="10" t="s">
        <v>1115</v>
      </c>
    </row>
  </sheetData>
  <dataValidations count="1">
    <dataValidation allowBlank="true" errorStyle="stop" operator="between" showDropDown="false" showErrorMessage="false" showInputMessage="false" sqref="B2:B131" type="list">
      <formula1>"DRL-0,DRL-1,DRL-2,DRL-3,DRL-4"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3" min="3" style="0" width="40"/>
  </cols>
  <sheetData>
    <row r="1" customFormat="false" ht="45" hidden="false" customHeight="true" outlineLevel="0" collapsed="false">
      <c r="A1" s="8" t="s">
        <v>1118</v>
      </c>
      <c r="B1" s="8" t="s">
        <v>1119</v>
      </c>
      <c r="C1" s="8" t="s">
        <v>55</v>
      </c>
    </row>
    <row r="2" customFormat="false" ht="15" hidden="false" customHeight="false" outlineLevel="0" collapsed="false">
      <c r="A2" s="2" t="s">
        <v>1120</v>
      </c>
      <c r="B2" s="10" t="n">
        <v>922</v>
      </c>
      <c r="C2" s="2"/>
    </row>
    <row r="3" customFormat="false" ht="15" hidden="false" customHeight="false" outlineLevel="0" collapsed="false">
      <c r="A3" s="2" t="s">
        <v>1121</v>
      </c>
      <c r="B3" s="10" t="n">
        <v>1399</v>
      </c>
      <c r="C3" s="2"/>
    </row>
    <row r="4" customFormat="false" ht="15" hidden="false" customHeight="false" outlineLevel="0" collapsed="false">
      <c r="A4" s="2" t="s">
        <v>1122</v>
      </c>
      <c r="B4" s="10" t="n">
        <v>0</v>
      </c>
      <c r="C4" s="2"/>
    </row>
    <row r="5" customFormat="false" ht="15" hidden="false" customHeight="false" outlineLevel="0" collapsed="false">
      <c r="A5" s="2" t="s">
        <v>1122</v>
      </c>
      <c r="B5" s="10" t="n">
        <v>0</v>
      </c>
      <c r="C5" s="2"/>
    </row>
    <row r="6" customFormat="false" ht="15" hidden="false" customHeight="false" outlineLevel="0" collapsed="false">
      <c r="A6" s="2" t="s">
        <v>1122</v>
      </c>
      <c r="B6" s="10" t="n">
        <v>0</v>
      </c>
      <c r="C6" s="2"/>
    </row>
    <row r="7" customFormat="false" ht="15" hidden="false" customHeight="false" outlineLevel="0" collapsed="false">
      <c r="A7" s="2" t="s">
        <v>1122</v>
      </c>
      <c r="B7" s="10" t="n">
        <v>0</v>
      </c>
      <c r="C7" s="2"/>
    </row>
    <row r="8" customFormat="false" ht="15" hidden="false" customHeight="false" outlineLevel="0" collapsed="false">
      <c r="A8" s="13" t="s">
        <v>1123</v>
      </c>
      <c r="B8" s="2" t="n">
        <f aca="false">SUM(B2:B7)</f>
        <v>2321</v>
      </c>
      <c r="C8" s="2"/>
    </row>
    <row r="9" customFormat="false" ht="15" hidden="false" customHeight="false" outlineLevel="0" collapsed="false">
      <c r="A9" s="2" t="s">
        <v>1124</v>
      </c>
      <c r="B9" s="10" t="n">
        <v>676</v>
      </c>
      <c r="C9" s="2"/>
    </row>
    <row r="10" customFormat="false" ht="15" hidden="false" customHeight="false" outlineLevel="0" collapsed="false">
      <c r="A10" s="2" t="s">
        <v>1125</v>
      </c>
      <c r="B10" s="10" t="n">
        <v>1139</v>
      </c>
      <c r="C10" s="2"/>
    </row>
    <row r="11" customFormat="false" ht="15" hidden="false" customHeight="false" outlineLevel="0" collapsed="false">
      <c r="A11" s="2" t="s">
        <v>1126</v>
      </c>
      <c r="B11" s="10" t="n">
        <v>3</v>
      </c>
      <c r="C11" s="2"/>
    </row>
    <row r="12" customFormat="false" ht="15" hidden="false" customHeight="false" outlineLevel="0" collapsed="false">
      <c r="A12" s="2" t="s">
        <v>1127</v>
      </c>
      <c r="B12" s="10" t="n">
        <v>0</v>
      </c>
      <c r="C12" s="2"/>
    </row>
    <row r="13" customFormat="false" ht="15" hidden="false" customHeight="false" outlineLevel="0" collapsed="false">
      <c r="A13" s="2" t="s">
        <v>1128</v>
      </c>
      <c r="B13" s="10" t="n">
        <v>1</v>
      </c>
      <c r="C13" s="2"/>
    </row>
    <row r="14" customFormat="false" ht="15" hidden="false" customHeight="false" outlineLevel="0" collapsed="false">
      <c r="A14" s="2" t="s">
        <v>1129</v>
      </c>
      <c r="B14" s="10" t="n">
        <v>2</v>
      </c>
      <c r="C14" s="2"/>
    </row>
    <row r="15" customFormat="false" ht="15" hidden="false" customHeight="false" outlineLevel="0" collapsed="false">
      <c r="A15" s="2" t="s">
        <v>1130</v>
      </c>
      <c r="B15" s="10" t="n">
        <v>370</v>
      </c>
      <c r="C15" s="2"/>
    </row>
    <row r="16" customFormat="false" ht="15" hidden="false" customHeight="false" outlineLevel="0" collapsed="false">
      <c r="A16" s="2" t="s">
        <v>1131</v>
      </c>
      <c r="B16" s="10" t="n">
        <v>0</v>
      </c>
      <c r="C16" s="2"/>
    </row>
    <row r="17" customFormat="false" ht="15" hidden="false" customHeight="false" outlineLevel="0" collapsed="false">
      <c r="A17" s="2" t="s">
        <v>1132</v>
      </c>
      <c r="B17" s="10" t="s">
        <v>1133</v>
      </c>
      <c r="C17" s="2"/>
    </row>
    <row r="18" customFormat="false" ht="15" hidden="false" customHeight="false" outlineLevel="0" collapsed="false">
      <c r="A18" s="2" t="s">
        <v>1134</v>
      </c>
      <c r="B18" s="10" t="s">
        <v>1135</v>
      </c>
      <c r="C18" s="2"/>
    </row>
    <row r="19" customFormat="false" ht="15" hidden="false" customHeight="false" outlineLevel="0" collapsed="false">
      <c r="A19" s="2" t="s">
        <v>1136</v>
      </c>
      <c r="B19" s="10" t="s">
        <v>1137</v>
      </c>
      <c r="C19" s="2"/>
    </row>
    <row r="20" customFormat="false" ht="15" hidden="false" customHeight="false" outlineLevel="0" collapsed="false">
      <c r="A20" s="13" t="s">
        <v>1138</v>
      </c>
      <c r="B20" s="2" t="n">
        <f aca="false">B8-B9</f>
        <v>1645</v>
      </c>
      <c r="C20" s="2"/>
    </row>
    <row r="21" customFormat="false" ht="15" hidden="false" customHeight="false" outlineLevel="0" collapsed="false">
      <c r="A21" s="13" t="s">
        <v>1139</v>
      </c>
      <c r="B21" s="2" t="n">
        <f aca="false">B20-B10</f>
        <v>506</v>
      </c>
      <c r="C21" s="2"/>
    </row>
    <row r="22" customFormat="false" ht="15" hidden="false" customHeight="false" outlineLevel="0" collapsed="false">
      <c r="A22" s="13" t="s">
        <v>1140</v>
      </c>
      <c r="B22" s="2" t="n">
        <f aca="false">SUM(B11:B15)</f>
        <v>376</v>
      </c>
      <c r="C22" s="2"/>
    </row>
    <row r="23" customFormat="false" ht="15" hidden="false" customHeight="false" outlineLevel="0" collapsed="false">
      <c r="A23" s="13" t="s">
        <v>1141</v>
      </c>
      <c r="B23" s="2" t="n">
        <f aca="false">B21-B22+B16</f>
        <v>130</v>
      </c>
      <c r="C23" s="2"/>
    </row>
    <row r="24" customFormat="false" ht="15" hidden="false" customHeight="false" outlineLevel="0" collapsed="false">
      <c r="A24" s="14" t="s">
        <v>1142</v>
      </c>
      <c r="B24" s="2" t="str">
        <f aca="false">IF(B23=130,"OK","CHECK")</f>
        <v>OK</v>
      </c>
      <c r="C24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2026-10-22T01:51:16Z</dcterms:created>
  <dc:creator>openpyxl</dc:creator>
  <dc:description/>
  <dc:language>en-US</dc:language>
  <cp:lastModifiedBy/>
  <dcterms:modified xsi:type="dcterms:W3CDTF">2026-10-22T01:51:18Z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